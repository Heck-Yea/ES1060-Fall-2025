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dhaberk1_uwyo_edu/Documents/Classes/Intro to Engineering Problem Solving/LAB01/"/>
    </mc:Choice>
  </mc:AlternateContent>
  <xr:revisionPtr revIDLastSave="192" documentId="8_{055CC081-F421-409D-A50F-DAF4C142BA53}" xr6:coauthVersionLast="47" xr6:coauthVersionMax="47" xr10:uidLastSave="{0D407982-880E-4D36-8B1E-43E5BFC1F7C5}"/>
  <bookViews>
    <workbookView xWindow="25695" yWindow="0" windowWidth="26010" windowHeight="20985" xr2:uid="{328DBD82-BD13-4872-9D45-0304A791C4BB}"/>
  </bookViews>
  <sheets>
    <sheet name="Compare" sheetId="1" r:id="rId1"/>
    <sheet name="BP" sheetId="2" r:id="rId2"/>
    <sheet name="XOM" sheetId="3" r:id="rId3"/>
    <sheet name="CVX" sheetId="8" r:id="rId4"/>
    <sheet name="COP" sheetId="5" r:id="rId5"/>
    <sheet name="SP500" sheetId="6" r:id="rId6"/>
  </sheets>
  <definedNames>
    <definedName name="ExternalData_1" localSheetId="3" hidden="1">CVX!$A$1:$G$65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K16" i="1"/>
  <c r="L16" i="1"/>
  <c r="J17" i="1"/>
  <c r="K17" i="1"/>
  <c r="L17" i="1"/>
  <c r="J18" i="1"/>
  <c r="K18" i="1"/>
  <c r="L18" i="1"/>
  <c r="I18" i="1"/>
  <c r="I17" i="1"/>
  <c r="I16" i="1"/>
  <c r="M8" i="1"/>
  <c r="J8" i="1"/>
  <c r="J12" i="1" s="1"/>
  <c r="K8" i="1"/>
  <c r="K12" i="1" s="1"/>
  <c r="L8" i="1"/>
  <c r="L12" i="1" s="1"/>
  <c r="B5" i="1" a="1"/>
  <c r="B5" i="1" s="1"/>
  <c r="I8" i="1" s="1"/>
  <c r="I12" i="1" s="1"/>
  <c r="A5" i="1" a="1"/>
  <c r="A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981AB-BF90-4D7B-890B-7B636D455611}" keepAlive="1" name="Query - CVX" description="Connection to the 'CVX' query in the workbook." type="5" refreshedVersion="0" background="1" saveData="1">
    <dbPr connection="Provider=Microsoft.Mashup.OleDb.1;Data Source=$Workbook$;Location=CVX;Extended Properties=&quot;&quot;" command="SELECT * FROM [CVX]"/>
  </connection>
  <connection id="2" xr16:uid="{FC3796C4-0E82-4820-8F63-23484D5AAF78}" keepAlive="1" name="Query - CVX (2)" description="Connection to the 'CVX (2)' query in the workbook." type="5" refreshedVersion="8" background="1" saveData="1">
    <dbPr connection="Provider=Microsoft.Mashup.OleDb.1;Data Source=$Workbook$;Location=&quot;CVX (2)&quot;;Extended Properties=&quot;&quot;" command="SELECT * FROM [CVX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<sst xmlns="http://schemas.openxmlformats.org/spreadsheetml/2006/main" count="125" uniqueCount="84">
  <si>
    <t>155.05</t>
  </si>
  <si>
    <t>154.91</t>
  </si>
  <si>
    <t>153.91</t>
  </si>
  <si>
    <t>156.06</t>
  </si>
  <si>
    <t>158.06</t>
  </si>
  <si>
    <t>160</t>
  </si>
  <si>
    <t>160.48</t>
  </si>
  <si>
    <t>159.7</t>
  </si>
  <si>
    <t>159.01</t>
  </si>
  <si>
    <t>157.4</t>
  </si>
  <si>
    <t>157.51</t>
  </si>
  <si>
    <t>157.9</t>
  </si>
  <si>
    <t>155.32</t>
  </si>
  <si>
    <t>152.82</t>
  </si>
  <si>
    <t>152.42</t>
  </si>
  <si>
    <t>153.46</t>
  </si>
  <si>
    <t>156.13</t>
  </si>
  <si>
    <t>155.48</t>
  </si>
  <si>
    <t>155.7</t>
  </si>
  <si>
    <t>154.57</t>
  </si>
  <si>
    <t>154.09</t>
  </si>
  <si>
    <t>155.34</t>
  </si>
  <si>
    <t>153.99</t>
  </si>
  <si>
    <t>153.79</t>
  </si>
  <si>
    <t>154.48</t>
  </si>
  <si>
    <t>151.03</t>
  </si>
  <si>
    <t>151.25</t>
  </si>
  <si>
    <t>152.54</t>
  </si>
  <si>
    <t>152</t>
  </si>
  <si>
    <t>156.14</t>
  </si>
  <si>
    <t>156.68</t>
  </si>
  <si>
    <t>155.4</t>
  </si>
  <si>
    <t>155.83</t>
  </si>
  <si>
    <t>152.69</t>
  </si>
  <si>
    <t>150.91</t>
  </si>
  <si>
    <t>149.26</t>
  </si>
  <si>
    <t>151.2</t>
  </si>
  <si>
    <t>155.02</t>
  </si>
  <si>
    <t>149.16</t>
  </si>
  <si>
    <t>150.76</t>
  </si>
  <si>
    <t>151.6</t>
  </si>
  <si>
    <t>154.9</t>
  </si>
  <si>
    <t>154.29</t>
  </si>
  <si>
    <t>152.79</t>
  </si>
  <si>
    <t>152.94</t>
  </si>
  <si>
    <t>147.32</t>
  </si>
  <si>
    <t>147.4</t>
  </si>
  <si>
    <t>147.84</t>
  </si>
  <si>
    <t>147.01</t>
  </si>
  <si>
    <t>143.34</t>
  </si>
  <si>
    <t>143.04</t>
  </si>
  <si>
    <t>144.55</t>
  </si>
  <si>
    <t>143.7</t>
  </si>
  <si>
    <t>143.41</t>
  </si>
  <si>
    <t>144.54</t>
  </si>
  <si>
    <t>152.12</t>
  </si>
  <si>
    <t>148.52</t>
  </si>
  <si>
    <t>149.44</t>
  </si>
  <si>
    <t>147.33</t>
  </si>
  <si>
    <t>145.73</t>
  </si>
  <si>
    <t>147.08</t>
  </si>
  <si>
    <t>144.5</t>
  </si>
  <si>
    <t>144.19</t>
  </si>
  <si>
    <t>142.22</t>
  </si>
  <si>
    <t>Major Oil Company Stock Price Comparison</t>
  </si>
  <si>
    <t>Stock Prices</t>
  </si>
  <si>
    <t>Date</t>
  </si>
  <si>
    <t>Open</t>
  </si>
  <si>
    <t>High</t>
  </si>
  <si>
    <t>Low</t>
  </si>
  <si>
    <t>Volume</t>
  </si>
  <si>
    <t>Close</t>
  </si>
  <si>
    <t>Adj Close</t>
  </si>
  <si>
    <t>BP</t>
  </si>
  <si>
    <t>XOM</t>
  </si>
  <si>
    <t>CVX</t>
  </si>
  <si>
    <t>COP</t>
  </si>
  <si>
    <t>SP500</t>
  </si>
  <si>
    <t>3 Month Stock Price Appreciation</t>
  </si>
  <si>
    <t>3 Month Stock Price Appreciation vs SP500</t>
  </si>
  <si>
    <t>3 Month Hi-Lo-Avg Stock Price</t>
  </si>
  <si>
    <t>Hi</t>
  </si>
  <si>
    <t>Lo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</si>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</sst>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/>
    <xf numFmtId="0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/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2" fontId="0" fillId="2" borderId="1" xfId="0" applyNumberFormat="1" applyFont="1" applyFill="1" applyBorder="1"/>
    <xf numFmtId="2" fontId="0" fillId="0" borderId="1" xfId="0" applyNumberFormat="1" applyFont="1" applyBorder="1"/>
    <xf numFmtId="0" fontId="0" fillId="0" borderId="0" xfId="0" applyBorder="1"/>
    <xf numFmtId="2" fontId="0" fillId="0" borderId="0" xfId="0" applyNumberFormat="1" applyBorder="1"/>
    <xf numFmtId="10" fontId="0" fillId="0" borderId="0" xfId="0" applyNumberFormat="1" applyBorder="1"/>
    <xf numFmtId="10" fontId="0" fillId="0" borderId="1" xfId="1" applyNumberFormat="1" applyFont="1" applyBorder="1"/>
    <xf numFmtId="10" fontId="0" fillId="0" borderId="1" xfId="0" applyNumberFormat="1" applyBorder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A4E81C-271F-40D4-A924-799EB0C3A9A6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510499-BCA9-47DB-826B-23704C92918E}" name="CVX__2" displayName="CVX__2" ref="A1:G65" tableType="queryTable" totalsRowShown="0">
  <autoFilter ref="A1:G65" xr:uid="{61510499-BCA9-47DB-826B-23704C92918E}"/>
  <tableColumns count="7">
    <tableColumn id="1" xr3:uid="{621D0D70-6D81-45CB-9222-10CB341C83D3}" uniqueName="1" name="Date" queryTableFieldId="1" dataDxfId="1"/>
    <tableColumn id="2" xr3:uid="{7B23A723-D9C0-4D3F-833D-E8D94B768690}" uniqueName="2" name="Open" queryTableFieldId="2" dataDxfId="0"/>
    <tableColumn id="3" xr3:uid="{FCDFE666-D1EB-4128-A150-6D54437E64E2}" uniqueName="3" name="High" queryTableFieldId="3"/>
    <tableColumn id="4" xr3:uid="{8F7709A7-4883-4DB5-959F-7AF779E7014F}" uniqueName="4" name="Low" queryTableFieldId="4"/>
    <tableColumn id="5" xr3:uid="{F8653617-372F-4EB0-839E-D910CCA014A1}" uniqueName="5" name="Close" queryTableFieldId="5"/>
    <tableColumn id="6" xr3:uid="{F2E2E718-9FCB-4798-8C0B-23EF139139B0}" uniqueName="6" name="Adj Close" queryTableFieldId="6"/>
    <tableColumn id="7" xr3:uid="{74FDE256-45E6-4027-95FC-73DF44C87688}" uniqueName="7" name="Volu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47A9-7AD5-448D-A914-FEC1ABDD11AA}">
  <sheetPr codeName="Sheet1"/>
  <dimension ref="A1:W68"/>
  <sheetViews>
    <sheetView tabSelected="1" workbookViewId="0">
      <selection activeCell="G7" sqref="G7"/>
    </sheetView>
  </sheetViews>
  <sheetFormatPr defaultRowHeight="15" x14ac:dyDescent="0.25"/>
  <cols>
    <col min="1" max="1" width="9.42578125" style="8" bestFit="1" customWidth="1"/>
  </cols>
  <sheetData>
    <row r="1" spans="1:23" ht="26.25" x14ac:dyDescent="0.4">
      <c r="A1" s="10" t="s">
        <v>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4" spans="1:23" x14ac:dyDescent="0.25">
      <c r="A4" s="11" t="s">
        <v>65</v>
      </c>
      <c r="B4" s="12" t="s">
        <v>73</v>
      </c>
      <c r="C4" s="12" t="s">
        <v>74</v>
      </c>
      <c r="D4" s="12" t="s">
        <v>75</v>
      </c>
      <c r="E4" s="12" t="s">
        <v>76</v>
      </c>
      <c r="F4" s="12" t="s">
        <v>77</v>
      </c>
    </row>
    <row r="5" spans="1:23" x14ac:dyDescent="0.25">
      <c r="A5" s="11" cm="1">
        <f t="array" ref="A5:A68">BP!B2:B65</f>
        <v>45910</v>
      </c>
      <c r="B5" s="13" cm="1">
        <f t="array" ref="B5:B68">BP!G2:G65</f>
        <v>34.76</v>
      </c>
      <c r="C5" s="14">
        <v>112.5</v>
      </c>
      <c r="D5" s="15">
        <v>157.79</v>
      </c>
      <c r="E5" s="14">
        <v>94.32</v>
      </c>
      <c r="F5" s="14">
        <v>6532.04</v>
      </c>
    </row>
    <row r="6" spans="1:23" x14ac:dyDescent="0.25">
      <c r="A6" s="11">
        <v>45909</v>
      </c>
      <c r="B6" s="13">
        <v>34.090000000000003</v>
      </c>
      <c r="C6" s="14">
        <v>110.65</v>
      </c>
      <c r="D6" s="16">
        <v>154.85</v>
      </c>
      <c r="E6" s="14">
        <v>91.86</v>
      </c>
      <c r="F6" s="14">
        <v>6512.61</v>
      </c>
      <c r="I6" s="22" t="s">
        <v>78</v>
      </c>
      <c r="J6" s="23"/>
      <c r="K6" s="23"/>
      <c r="L6" s="23"/>
      <c r="M6" s="24"/>
      <c r="Q6" s="17"/>
      <c r="R6" s="17"/>
      <c r="S6" s="17"/>
      <c r="T6" s="17"/>
      <c r="U6" s="17"/>
      <c r="V6" s="17"/>
      <c r="W6" s="17"/>
    </row>
    <row r="7" spans="1:23" x14ac:dyDescent="0.25">
      <c r="A7" s="11">
        <v>45908</v>
      </c>
      <c r="B7" s="13">
        <v>33.909999999999997</v>
      </c>
      <c r="C7" s="14">
        <v>109.85</v>
      </c>
      <c r="D7" s="15">
        <v>154</v>
      </c>
      <c r="E7" s="14">
        <v>91.4</v>
      </c>
      <c r="F7" s="14">
        <v>6495.15</v>
      </c>
      <c r="I7" s="12" t="s">
        <v>73</v>
      </c>
      <c r="J7" s="12" t="s">
        <v>74</v>
      </c>
      <c r="K7" s="12" t="s">
        <v>75</v>
      </c>
      <c r="L7" s="12" t="s">
        <v>76</v>
      </c>
      <c r="M7" s="12" t="s">
        <v>77</v>
      </c>
      <c r="Q7" s="17"/>
      <c r="R7" s="17"/>
      <c r="S7" s="17"/>
      <c r="T7" s="17"/>
      <c r="U7" s="17"/>
      <c r="V7" s="17"/>
      <c r="W7" s="17"/>
    </row>
    <row r="8" spans="1:23" x14ac:dyDescent="0.25">
      <c r="A8" s="11">
        <v>45905</v>
      </c>
      <c r="B8" s="13">
        <v>33.93</v>
      </c>
      <c r="C8" s="14">
        <v>109.23</v>
      </c>
      <c r="D8" s="16">
        <v>153.66</v>
      </c>
      <c r="E8" s="14">
        <v>92.95</v>
      </c>
      <c r="F8" s="14">
        <v>6481.5</v>
      </c>
      <c r="I8" s="20">
        <f>(B5-B68)/B68</f>
        <v>0.16683450822423629</v>
      </c>
      <c r="J8" s="20">
        <f t="shared" ref="J8:L8" si="0">(C5-C68)/C68</f>
        <v>5.9022874894097674E-2</v>
      </c>
      <c r="K8" s="20">
        <f t="shared" si="0"/>
        <v>0.11299992946321492</v>
      </c>
      <c r="L8" s="20">
        <f t="shared" si="0"/>
        <v>4.3016697998451689E-2</v>
      </c>
      <c r="M8" s="20">
        <f>(F5-F68)/F68</f>
        <v>8.1676687956733121E-2</v>
      </c>
      <c r="Q8" s="17"/>
      <c r="R8" s="17"/>
      <c r="S8" s="17"/>
      <c r="T8" s="17"/>
      <c r="U8" s="17"/>
      <c r="V8" s="17"/>
      <c r="W8" s="17"/>
    </row>
    <row r="9" spans="1:23" x14ac:dyDescent="0.25">
      <c r="A9" s="11">
        <v>45904</v>
      </c>
      <c r="B9" s="13">
        <v>34.299999999999997</v>
      </c>
      <c r="C9" s="14">
        <v>112.4</v>
      </c>
      <c r="D9" s="15">
        <v>157.69</v>
      </c>
      <c r="E9" s="14">
        <v>95.77</v>
      </c>
      <c r="F9" s="14">
        <v>6502.08</v>
      </c>
      <c r="Q9" s="25"/>
      <c r="R9" s="25"/>
      <c r="S9" s="25"/>
      <c r="T9" s="25"/>
      <c r="U9" s="25"/>
      <c r="V9" s="17"/>
      <c r="W9" s="17"/>
    </row>
    <row r="10" spans="1:23" x14ac:dyDescent="0.25">
      <c r="A10" s="11">
        <v>45903</v>
      </c>
      <c r="B10" s="13">
        <v>34.46</v>
      </c>
      <c r="C10" s="14">
        <v>111.91</v>
      </c>
      <c r="D10" s="16">
        <v>158.06</v>
      </c>
      <c r="E10" s="14">
        <v>94.65</v>
      </c>
      <c r="F10" s="14">
        <v>6448.26</v>
      </c>
      <c r="I10" s="22" t="s">
        <v>79</v>
      </c>
      <c r="J10" s="23"/>
      <c r="K10" s="23"/>
      <c r="L10" s="24"/>
      <c r="Q10" s="17"/>
      <c r="R10" s="17"/>
      <c r="S10" s="17"/>
      <c r="T10" s="17"/>
      <c r="U10" s="17"/>
      <c r="V10" s="17"/>
      <c r="W10" s="17"/>
    </row>
    <row r="11" spans="1:23" x14ac:dyDescent="0.25">
      <c r="A11" s="11">
        <v>45902</v>
      </c>
      <c r="B11" s="13">
        <v>35.229999999999997</v>
      </c>
      <c r="C11" s="14">
        <v>114.69</v>
      </c>
      <c r="D11" s="15">
        <v>161.83000000000001</v>
      </c>
      <c r="E11" s="14">
        <v>98.99</v>
      </c>
      <c r="F11" s="14">
        <v>6415.54</v>
      </c>
      <c r="I11" s="12" t="s">
        <v>73</v>
      </c>
      <c r="J11" s="12" t="s">
        <v>74</v>
      </c>
      <c r="K11" s="12" t="s">
        <v>75</v>
      </c>
      <c r="L11" s="12" t="s">
        <v>76</v>
      </c>
      <c r="M11" s="17"/>
      <c r="Q11" s="18"/>
      <c r="R11" s="18"/>
      <c r="S11" s="18"/>
      <c r="T11" s="18"/>
      <c r="U11" s="17"/>
      <c r="V11" s="17"/>
      <c r="W11" s="17"/>
    </row>
    <row r="12" spans="1:23" x14ac:dyDescent="0.25">
      <c r="A12" s="11">
        <v>45898</v>
      </c>
      <c r="B12" s="13">
        <v>35.229999999999997</v>
      </c>
      <c r="C12" s="14">
        <v>114.29</v>
      </c>
      <c r="D12" s="16">
        <v>160.6</v>
      </c>
      <c r="E12" s="14">
        <v>98.97</v>
      </c>
      <c r="F12" s="14">
        <v>6460.26</v>
      </c>
      <c r="I12" s="21">
        <f>(I8-$M$8)/$M$8</f>
        <v>1.0426208799335022</v>
      </c>
      <c r="J12" s="21">
        <f t="shared" ref="J12:L12" si="1">(J8-$M$8)/$M$8</f>
        <v>-0.27735959463287652</v>
      </c>
      <c r="K12" s="21">
        <f t="shared" si="1"/>
        <v>0.38350283648958405</v>
      </c>
      <c r="L12" s="21">
        <f t="shared" si="1"/>
        <v>-0.4733295500273092</v>
      </c>
      <c r="M12" s="19"/>
      <c r="Q12" s="18"/>
      <c r="R12" s="18"/>
      <c r="S12" s="18"/>
      <c r="T12" s="18"/>
      <c r="U12" s="17"/>
      <c r="V12" s="17"/>
      <c r="W12" s="17"/>
    </row>
    <row r="13" spans="1:23" x14ac:dyDescent="0.25">
      <c r="A13" s="11">
        <v>45897</v>
      </c>
      <c r="B13" s="13">
        <v>35.35</v>
      </c>
      <c r="C13" s="14">
        <v>113.35</v>
      </c>
      <c r="D13" s="15">
        <v>159.32</v>
      </c>
      <c r="E13" s="14">
        <v>98.45</v>
      </c>
      <c r="F13" s="14">
        <v>6501.86</v>
      </c>
      <c r="Q13" s="18"/>
      <c r="R13" s="18"/>
      <c r="S13" s="18"/>
      <c r="T13" s="18"/>
      <c r="U13" s="17"/>
      <c r="V13" s="17"/>
      <c r="W13" s="17"/>
    </row>
    <row r="14" spans="1:23" x14ac:dyDescent="0.25">
      <c r="A14" s="11">
        <v>45896</v>
      </c>
      <c r="B14" s="13">
        <v>34.89</v>
      </c>
      <c r="C14" s="14">
        <v>112.75</v>
      </c>
      <c r="D14" s="16">
        <v>159.24</v>
      </c>
      <c r="E14" s="14">
        <v>97.9</v>
      </c>
      <c r="F14" s="14">
        <v>6481.4</v>
      </c>
      <c r="I14" s="22" t="s">
        <v>80</v>
      </c>
      <c r="J14" s="23"/>
      <c r="K14" s="23"/>
      <c r="L14" s="23"/>
      <c r="M14" s="24"/>
      <c r="Q14" s="17"/>
      <c r="R14" s="17"/>
      <c r="S14" s="17"/>
      <c r="T14" s="17"/>
      <c r="U14" s="17"/>
      <c r="V14" s="17"/>
      <c r="W14" s="17"/>
    </row>
    <row r="15" spans="1:23" x14ac:dyDescent="0.25">
      <c r="A15" s="11">
        <v>45895</v>
      </c>
      <c r="B15" s="13">
        <v>34.67</v>
      </c>
      <c r="C15" s="14">
        <v>111.49</v>
      </c>
      <c r="D15" s="15">
        <v>157.36000000000001</v>
      </c>
      <c r="E15" s="14">
        <v>97.05</v>
      </c>
      <c r="F15" s="14">
        <v>6465.94</v>
      </c>
      <c r="I15" s="12" t="s">
        <v>73</v>
      </c>
      <c r="J15" s="12" t="s">
        <v>74</v>
      </c>
      <c r="K15" s="12" t="s">
        <v>75</v>
      </c>
      <c r="L15" s="12" t="s">
        <v>76</v>
      </c>
      <c r="M15" s="12"/>
      <c r="Q15" s="17"/>
      <c r="R15" s="17"/>
      <c r="S15" s="17"/>
      <c r="T15" s="17"/>
      <c r="U15" s="17"/>
      <c r="V15" s="17"/>
      <c r="W15" s="17"/>
    </row>
    <row r="16" spans="1:23" x14ac:dyDescent="0.25">
      <c r="A16" s="11">
        <v>45894</v>
      </c>
      <c r="B16" s="13">
        <v>34.97</v>
      </c>
      <c r="C16" s="14">
        <v>111.74</v>
      </c>
      <c r="D16" s="16">
        <v>158.19999999999999</v>
      </c>
      <c r="E16" s="14">
        <v>98.18</v>
      </c>
      <c r="F16" s="14">
        <v>6439.32</v>
      </c>
      <c r="I16" s="13">
        <f>MAX(B5:B68)</f>
        <v>35.35</v>
      </c>
      <c r="J16" s="13">
        <f>MAX(C5:C68)</f>
        <v>114.69</v>
      </c>
      <c r="K16" s="13">
        <f>MAX(D5:D68)</f>
        <v>161.83000000000001</v>
      </c>
      <c r="L16" s="13">
        <f>MAX(E5:E68)</f>
        <v>98.99</v>
      </c>
      <c r="M16" s="12" t="s">
        <v>81</v>
      </c>
      <c r="Q16" s="17"/>
      <c r="R16" s="17"/>
      <c r="S16" s="17"/>
      <c r="T16" s="17"/>
      <c r="U16" s="17"/>
      <c r="V16" s="17"/>
      <c r="W16" s="17"/>
    </row>
    <row r="17" spans="1:13" x14ac:dyDescent="0.25">
      <c r="A17" s="11">
        <v>45891</v>
      </c>
      <c r="B17" s="13">
        <v>34.74</v>
      </c>
      <c r="C17" s="14">
        <v>111.28</v>
      </c>
      <c r="D17" s="15">
        <v>158.18</v>
      </c>
      <c r="E17" s="14">
        <v>96.78</v>
      </c>
      <c r="F17" s="14">
        <v>6466.91</v>
      </c>
      <c r="I17" s="13">
        <f>MIN(B5:B68)</f>
        <v>29.4</v>
      </c>
      <c r="J17" s="13">
        <f>MIN(C5:C68)</f>
        <v>104.85</v>
      </c>
      <c r="K17" s="13">
        <f>MIN(D5:D68)</f>
        <v>141.61000000000001</v>
      </c>
      <c r="L17" s="13">
        <f>MIN(E5:E68)</f>
        <v>88.27</v>
      </c>
      <c r="M17" s="12" t="s">
        <v>82</v>
      </c>
    </row>
    <row r="18" spans="1:13" x14ac:dyDescent="0.25">
      <c r="A18" s="11">
        <v>45890</v>
      </c>
      <c r="B18" s="13">
        <v>34.049999999999997</v>
      </c>
      <c r="C18" s="14">
        <v>109.23</v>
      </c>
      <c r="D18" s="16">
        <v>155.55000000000001</v>
      </c>
      <c r="E18" s="14">
        <v>94.78</v>
      </c>
      <c r="F18" s="14">
        <v>6370.17</v>
      </c>
      <c r="I18" s="13">
        <f>AVERAGE(B5:B68)</f>
        <v>32.310000000000009</v>
      </c>
      <c r="J18" s="13">
        <f>AVERAGE(C5:C68)</f>
        <v>109.72796874999999</v>
      </c>
      <c r="K18" s="13">
        <f>AVERAGE(D5:D68)</f>
        <v>150.8853125</v>
      </c>
      <c r="L18" s="13">
        <f>AVERAGE(E5:E68)</f>
        <v>93.616250000000036</v>
      </c>
      <c r="M18" s="12" t="s">
        <v>83</v>
      </c>
    </row>
    <row r="19" spans="1:13" x14ac:dyDescent="0.25">
      <c r="A19" s="11">
        <v>45889</v>
      </c>
      <c r="B19" s="13">
        <v>33.880000000000003</v>
      </c>
      <c r="C19" s="14">
        <v>108.53</v>
      </c>
      <c r="D19" s="15">
        <v>153.22</v>
      </c>
      <c r="E19" s="14">
        <v>94.89</v>
      </c>
      <c r="F19" s="14">
        <v>6395.78</v>
      </c>
    </row>
    <row r="20" spans="1:13" x14ac:dyDescent="0.25">
      <c r="A20" s="11">
        <v>45888</v>
      </c>
      <c r="B20" s="13">
        <v>33.82</v>
      </c>
      <c r="C20" s="14">
        <v>107.42</v>
      </c>
      <c r="D20" s="16">
        <v>152</v>
      </c>
      <c r="E20" s="14">
        <v>93.76</v>
      </c>
      <c r="F20" s="14">
        <v>6411.37</v>
      </c>
    </row>
    <row r="21" spans="1:13" x14ac:dyDescent="0.25">
      <c r="A21" s="11">
        <v>45887</v>
      </c>
      <c r="B21" s="13">
        <v>34.049999999999997</v>
      </c>
      <c r="C21" s="14">
        <v>106.72</v>
      </c>
      <c r="D21" s="15">
        <v>153.61000000000001</v>
      </c>
      <c r="E21" s="14">
        <v>94</v>
      </c>
      <c r="F21" s="14">
        <v>6449.15</v>
      </c>
    </row>
    <row r="22" spans="1:13" x14ac:dyDescent="0.25">
      <c r="A22" s="11">
        <v>45884</v>
      </c>
      <c r="B22" s="13">
        <v>34.33</v>
      </c>
      <c r="C22" s="14">
        <v>106.49</v>
      </c>
      <c r="D22" s="16">
        <v>154.83000000000001</v>
      </c>
      <c r="E22" s="14">
        <v>94.55</v>
      </c>
      <c r="F22" s="14">
        <v>6449.8</v>
      </c>
    </row>
    <row r="23" spans="1:13" x14ac:dyDescent="0.25">
      <c r="A23" s="11">
        <v>45883</v>
      </c>
      <c r="B23" s="13">
        <v>34.14</v>
      </c>
      <c r="C23" s="14">
        <v>106.39</v>
      </c>
      <c r="D23" s="15">
        <v>153.44999999999999</v>
      </c>
      <c r="E23" s="14">
        <v>94.87</v>
      </c>
      <c r="F23" s="14">
        <v>6468.54</v>
      </c>
    </row>
    <row r="24" spans="1:13" x14ac:dyDescent="0.25">
      <c r="A24" s="11">
        <v>45882</v>
      </c>
      <c r="B24" s="13">
        <v>33.82</v>
      </c>
      <c r="C24" s="14">
        <v>106.61</v>
      </c>
      <c r="D24" s="16">
        <v>154.15</v>
      </c>
      <c r="E24" s="14">
        <v>95.1</v>
      </c>
      <c r="F24" s="14">
        <v>6466.58</v>
      </c>
    </row>
    <row r="25" spans="1:13" x14ac:dyDescent="0.25">
      <c r="A25" s="11">
        <v>45881</v>
      </c>
      <c r="B25" s="13">
        <v>33.58</v>
      </c>
      <c r="C25" s="14">
        <v>105.15</v>
      </c>
      <c r="D25" s="15">
        <v>152.74</v>
      </c>
      <c r="E25" s="14">
        <v>93.82</v>
      </c>
      <c r="F25" s="14">
        <v>6445.76</v>
      </c>
    </row>
    <row r="26" spans="1:13" x14ac:dyDescent="0.25">
      <c r="A26" s="11">
        <v>45880</v>
      </c>
      <c r="B26" s="13">
        <v>33.46</v>
      </c>
      <c r="C26" s="14">
        <v>104.85</v>
      </c>
      <c r="D26" s="16">
        <v>151.76</v>
      </c>
      <c r="E26" s="14">
        <v>92.76</v>
      </c>
      <c r="F26" s="14">
        <v>6373.45</v>
      </c>
    </row>
    <row r="27" spans="1:13" x14ac:dyDescent="0.25">
      <c r="A27" s="11">
        <v>45877</v>
      </c>
      <c r="B27" s="13">
        <v>33.65</v>
      </c>
      <c r="C27" s="14">
        <v>105.82</v>
      </c>
      <c r="D27" s="15">
        <v>153.30000000000001</v>
      </c>
      <c r="E27" s="14">
        <v>93.14</v>
      </c>
      <c r="F27" s="14">
        <v>6389.45</v>
      </c>
    </row>
    <row r="28" spans="1:13" x14ac:dyDescent="0.25">
      <c r="A28" s="11">
        <v>45876</v>
      </c>
      <c r="B28" s="13">
        <v>33.700000000000003</v>
      </c>
      <c r="C28" s="14">
        <v>104.97</v>
      </c>
      <c r="D28" s="16">
        <v>151.47</v>
      </c>
      <c r="E28" s="14">
        <v>91.84</v>
      </c>
      <c r="F28" s="14">
        <v>6340</v>
      </c>
    </row>
    <row r="29" spans="1:13" x14ac:dyDescent="0.25">
      <c r="A29" s="11">
        <v>45875</v>
      </c>
      <c r="B29" s="13">
        <v>33.39</v>
      </c>
      <c r="C29" s="14">
        <v>105.53</v>
      </c>
      <c r="D29" s="15">
        <v>151.1</v>
      </c>
      <c r="E29" s="14">
        <v>92.35</v>
      </c>
      <c r="F29" s="14">
        <v>6345.06</v>
      </c>
    </row>
    <row r="30" spans="1:13" x14ac:dyDescent="0.25">
      <c r="A30" s="11">
        <v>45874</v>
      </c>
      <c r="B30" s="13">
        <v>33.119999999999997</v>
      </c>
      <c r="C30" s="14">
        <v>106.25</v>
      </c>
      <c r="D30" s="16">
        <v>151.36000000000001</v>
      </c>
      <c r="E30" s="14">
        <v>92.44</v>
      </c>
      <c r="F30" s="14">
        <v>6299.19</v>
      </c>
    </row>
    <row r="31" spans="1:13" x14ac:dyDescent="0.25">
      <c r="A31" s="11">
        <v>45873</v>
      </c>
      <c r="B31" s="13">
        <v>32.020000000000003</v>
      </c>
      <c r="C31" s="14">
        <v>106.38</v>
      </c>
      <c r="D31" s="15">
        <v>149.38</v>
      </c>
      <c r="E31" s="14">
        <v>92.09</v>
      </c>
      <c r="F31" s="14">
        <v>6329.94</v>
      </c>
    </row>
    <row r="32" spans="1:13" x14ac:dyDescent="0.25">
      <c r="A32" s="11">
        <v>45870</v>
      </c>
      <c r="B32" s="13">
        <v>31.29</v>
      </c>
      <c r="C32" s="14">
        <v>108.63</v>
      </c>
      <c r="D32" s="16">
        <v>149.72999999999999</v>
      </c>
      <c r="E32" s="14">
        <v>92</v>
      </c>
      <c r="F32" s="14">
        <v>6238.01</v>
      </c>
    </row>
    <row r="33" spans="1:6" x14ac:dyDescent="0.25">
      <c r="A33" s="11">
        <v>45869</v>
      </c>
      <c r="B33" s="13">
        <v>31.69</v>
      </c>
      <c r="C33" s="14">
        <v>110.61</v>
      </c>
      <c r="D33" s="15">
        <v>149.97</v>
      </c>
      <c r="E33" s="14">
        <v>94.56</v>
      </c>
      <c r="F33" s="14">
        <v>6339.39</v>
      </c>
    </row>
    <row r="34" spans="1:6" x14ac:dyDescent="0.25">
      <c r="A34" s="11">
        <v>45868</v>
      </c>
      <c r="B34" s="13">
        <v>31.79</v>
      </c>
      <c r="C34" s="14">
        <v>110.87</v>
      </c>
      <c r="D34" s="16">
        <v>151.87</v>
      </c>
      <c r="E34" s="14">
        <v>95.88</v>
      </c>
      <c r="F34" s="14">
        <v>6362.9</v>
      </c>
    </row>
    <row r="35" spans="1:6" x14ac:dyDescent="0.25">
      <c r="A35" s="11">
        <v>45867</v>
      </c>
      <c r="B35" s="13">
        <v>32.49</v>
      </c>
      <c r="C35" s="14">
        <v>111.84</v>
      </c>
      <c r="D35" s="15">
        <v>155.30000000000001</v>
      </c>
      <c r="E35" s="14">
        <v>97.19</v>
      </c>
      <c r="F35" s="14">
        <v>6370.86</v>
      </c>
    </row>
    <row r="36" spans="1:6" x14ac:dyDescent="0.25">
      <c r="A36" s="11">
        <v>45866</v>
      </c>
      <c r="B36" s="13">
        <v>32.200000000000003</v>
      </c>
      <c r="C36" s="14">
        <v>110.41</v>
      </c>
      <c r="D36" s="16">
        <v>154.56</v>
      </c>
      <c r="E36" s="14">
        <v>96.23</v>
      </c>
      <c r="F36" s="14">
        <v>6389.77</v>
      </c>
    </row>
    <row r="37" spans="1:6" x14ac:dyDescent="0.25">
      <c r="A37" s="11">
        <v>45863</v>
      </c>
      <c r="B37" s="13">
        <v>31.74</v>
      </c>
      <c r="C37" s="14">
        <v>109.38</v>
      </c>
      <c r="D37" s="15">
        <v>153.13999999999999</v>
      </c>
      <c r="E37" s="14">
        <v>94.17</v>
      </c>
      <c r="F37" s="14">
        <v>6388.64</v>
      </c>
    </row>
    <row r="38" spans="1:6" x14ac:dyDescent="0.25">
      <c r="A38" s="11">
        <v>45862</v>
      </c>
      <c r="B38" s="13">
        <v>31.67</v>
      </c>
      <c r="C38" s="14">
        <v>109.77</v>
      </c>
      <c r="D38" s="16">
        <v>154.11000000000001</v>
      </c>
      <c r="E38" s="14">
        <v>94.84</v>
      </c>
      <c r="F38" s="14">
        <v>6363.35</v>
      </c>
    </row>
    <row r="39" spans="1:6" x14ac:dyDescent="0.25">
      <c r="A39" s="11">
        <v>45861</v>
      </c>
      <c r="B39" s="13">
        <v>32.24</v>
      </c>
      <c r="C39" s="14">
        <v>108.92</v>
      </c>
      <c r="D39" s="15">
        <v>151.43</v>
      </c>
      <c r="E39" s="14">
        <v>94.26</v>
      </c>
      <c r="F39" s="14">
        <v>6358.91</v>
      </c>
    </row>
    <row r="40" spans="1:6" x14ac:dyDescent="0.25">
      <c r="A40" s="11">
        <v>45860</v>
      </c>
      <c r="B40" s="13">
        <v>32.049999999999997</v>
      </c>
      <c r="C40" s="14">
        <v>107.54</v>
      </c>
      <c r="D40" s="16">
        <v>148.38999999999999</v>
      </c>
      <c r="E40" s="14">
        <v>92.22</v>
      </c>
      <c r="F40" s="14">
        <v>6309.62</v>
      </c>
    </row>
    <row r="41" spans="1:6" x14ac:dyDescent="0.25">
      <c r="A41" s="11">
        <v>45859</v>
      </c>
      <c r="B41" s="13">
        <v>31.77</v>
      </c>
      <c r="C41" s="14">
        <v>107.05</v>
      </c>
      <c r="D41" s="15">
        <v>148.03</v>
      </c>
      <c r="E41" s="14">
        <v>90.26</v>
      </c>
      <c r="F41" s="14">
        <v>6305.6</v>
      </c>
    </row>
    <row r="42" spans="1:6" x14ac:dyDescent="0.25">
      <c r="A42" s="11">
        <v>45856</v>
      </c>
      <c r="B42" s="13">
        <v>31.53</v>
      </c>
      <c r="C42" s="14">
        <v>106.78</v>
      </c>
      <c r="D42" s="16">
        <v>148.38999999999999</v>
      </c>
      <c r="E42" s="14">
        <v>90.89</v>
      </c>
      <c r="F42" s="14">
        <v>6296.79</v>
      </c>
    </row>
    <row r="43" spans="1:6" x14ac:dyDescent="0.25">
      <c r="A43" s="11">
        <v>45855</v>
      </c>
      <c r="B43" s="13">
        <v>31.63</v>
      </c>
      <c r="C43" s="14">
        <v>110.63</v>
      </c>
      <c r="D43" s="15">
        <v>149.71</v>
      </c>
      <c r="E43" s="14">
        <v>92.05</v>
      </c>
      <c r="F43" s="14">
        <v>6297.36</v>
      </c>
    </row>
    <row r="44" spans="1:6" x14ac:dyDescent="0.25">
      <c r="A44" s="11">
        <v>45854</v>
      </c>
      <c r="B44" s="13">
        <v>31.46</v>
      </c>
      <c r="C44" s="14">
        <v>111.2</v>
      </c>
      <c r="D44" s="16">
        <v>148.27000000000001</v>
      </c>
      <c r="E44" s="14">
        <v>90.76</v>
      </c>
      <c r="F44" s="14">
        <v>6263.7</v>
      </c>
    </row>
    <row r="45" spans="1:6" x14ac:dyDescent="0.25">
      <c r="A45" s="11">
        <v>45853</v>
      </c>
      <c r="B45" s="13">
        <v>31.4</v>
      </c>
      <c r="C45" s="14">
        <v>111.87</v>
      </c>
      <c r="D45" s="15">
        <v>149.03</v>
      </c>
      <c r="E45" s="14">
        <v>91.79</v>
      </c>
      <c r="F45" s="14">
        <v>6243.76</v>
      </c>
    </row>
    <row r="46" spans="1:6" x14ac:dyDescent="0.25">
      <c r="A46" s="11">
        <v>45852</v>
      </c>
      <c r="B46" s="13">
        <v>31.64</v>
      </c>
      <c r="C46" s="14">
        <v>112.87</v>
      </c>
      <c r="D46" s="16">
        <v>149.97999999999999</v>
      </c>
      <c r="E46" s="14">
        <v>93.4</v>
      </c>
      <c r="F46" s="14">
        <v>6268.56</v>
      </c>
    </row>
    <row r="47" spans="1:6" x14ac:dyDescent="0.25">
      <c r="A47" s="11">
        <v>45849</v>
      </c>
      <c r="B47" s="13">
        <v>32.17</v>
      </c>
      <c r="C47" s="14">
        <v>114.37</v>
      </c>
      <c r="D47" s="15">
        <v>153.6</v>
      </c>
      <c r="E47" s="14">
        <v>94.83</v>
      </c>
      <c r="F47" s="14">
        <v>6259.75</v>
      </c>
    </row>
    <row r="48" spans="1:6" x14ac:dyDescent="0.25">
      <c r="A48" s="11">
        <v>45848</v>
      </c>
      <c r="B48" s="13">
        <v>31.07</v>
      </c>
      <c r="C48" s="14">
        <v>113.87</v>
      </c>
      <c r="D48" s="16">
        <v>152.47</v>
      </c>
      <c r="E48" s="14">
        <v>94.59</v>
      </c>
      <c r="F48" s="14">
        <v>6280.46</v>
      </c>
    </row>
    <row r="49" spans="1:6" x14ac:dyDescent="0.25">
      <c r="A49" s="11">
        <v>45847</v>
      </c>
      <c r="B49" s="13">
        <v>30.82</v>
      </c>
      <c r="C49" s="14">
        <v>112.75</v>
      </c>
      <c r="D49" s="15">
        <v>151.34</v>
      </c>
      <c r="E49" s="14">
        <v>93.76</v>
      </c>
      <c r="F49" s="14">
        <v>6263.26</v>
      </c>
    </row>
    <row r="50" spans="1:6" x14ac:dyDescent="0.25">
      <c r="A50" s="11">
        <v>45846</v>
      </c>
      <c r="B50" s="13">
        <v>30.82</v>
      </c>
      <c r="C50" s="14">
        <v>113.14</v>
      </c>
      <c r="D50" s="16">
        <v>151.55000000000001</v>
      </c>
      <c r="E50" s="14">
        <v>95.01</v>
      </c>
      <c r="F50" s="14">
        <v>6225.52</v>
      </c>
    </row>
    <row r="51" spans="1:6" x14ac:dyDescent="0.25">
      <c r="A51" s="11">
        <v>45845</v>
      </c>
      <c r="B51" s="13">
        <v>29.81</v>
      </c>
      <c r="C51" s="14">
        <v>110.09</v>
      </c>
      <c r="D51" s="15">
        <v>145.78</v>
      </c>
      <c r="E51" s="14">
        <v>91.79</v>
      </c>
      <c r="F51" s="14">
        <v>6229.98</v>
      </c>
    </row>
    <row r="52" spans="1:6" x14ac:dyDescent="0.25">
      <c r="A52" s="11">
        <v>45841</v>
      </c>
      <c r="B52" s="13">
        <v>30.48</v>
      </c>
      <c r="C52" s="14">
        <v>111.17</v>
      </c>
      <c r="D52" s="16">
        <v>146.74</v>
      </c>
      <c r="E52" s="14">
        <v>92.91</v>
      </c>
      <c r="F52" s="14">
        <v>6279.35</v>
      </c>
    </row>
    <row r="53" spans="1:6" x14ac:dyDescent="0.25">
      <c r="A53" s="11">
        <v>45840</v>
      </c>
      <c r="B53" s="13">
        <v>30.85</v>
      </c>
      <c r="C53" s="14">
        <v>110.03</v>
      </c>
      <c r="D53" s="15">
        <v>146.35</v>
      </c>
      <c r="E53" s="14">
        <v>93.67</v>
      </c>
      <c r="F53" s="14">
        <v>6227.42</v>
      </c>
    </row>
    <row r="54" spans="1:6" x14ac:dyDescent="0.25">
      <c r="A54" s="11">
        <v>45839</v>
      </c>
      <c r="B54" s="13">
        <v>30.06</v>
      </c>
      <c r="C54" s="14">
        <v>108.23</v>
      </c>
      <c r="D54" s="16">
        <v>143.97</v>
      </c>
      <c r="E54" s="14">
        <v>91.24</v>
      </c>
      <c r="F54" s="14">
        <v>6198.01</v>
      </c>
    </row>
    <row r="55" spans="1:6" x14ac:dyDescent="0.25">
      <c r="A55" s="11">
        <v>45838</v>
      </c>
      <c r="B55" s="13">
        <v>29.5</v>
      </c>
      <c r="C55" s="14">
        <v>106.81</v>
      </c>
      <c r="D55" s="15">
        <v>141.61000000000001</v>
      </c>
      <c r="E55" s="14">
        <v>89.01</v>
      </c>
      <c r="F55" s="14">
        <v>6204.95</v>
      </c>
    </row>
    <row r="56" spans="1:6" x14ac:dyDescent="0.25">
      <c r="A56" s="11">
        <v>45835</v>
      </c>
      <c r="B56" s="13">
        <v>29.9</v>
      </c>
      <c r="C56" s="14">
        <v>108.37</v>
      </c>
      <c r="D56" s="16">
        <v>142.21</v>
      </c>
      <c r="E56" s="14">
        <v>89.43</v>
      </c>
      <c r="F56" s="14">
        <v>6173.07</v>
      </c>
    </row>
    <row r="57" spans="1:6" x14ac:dyDescent="0.25">
      <c r="A57" s="11">
        <v>45834</v>
      </c>
      <c r="B57" s="13">
        <v>29.85</v>
      </c>
      <c r="C57" s="14">
        <v>108.98</v>
      </c>
      <c r="D57" s="15">
        <v>142.85</v>
      </c>
      <c r="E57" s="14">
        <v>90.15</v>
      </c>
      <c r="F57" s="14">
        <v>6141.02</v>
      </c>
    </row>
    <row r="58" spans="1:6" x14ac:dyDescent="0.25">
      <c r="A58" s="11">
        <v>45833</v>
      </c>
      <c r="B58" s="13">
        <v>29.88</v>
      </c>
      <c r="C58" s="14">
        <v>107.37</v>
      </c>
      <c r="D58" s="16">
        <v>141.65</v>
      </c>
      <c r="E58" s="14">
        <v>88.27</v>
      </c>
      <c r="F58" s="14">
        <v>6092.16</v>
      </c>
    </row>
    <row r="59" spans="1:6" x14ac:dyDescent="0.25">
      <c r="A59" s="11">
        <v>45832</v>
      </c>
      <c r="B59" s="13">
        <v>29.4</v>
      </c>
      <c r="C59" s="14">
        <v>107.34</v>
      </c>
      <c r="D59" s="15">
        <v>141.97</v>
      </c>
      <c r="E59" s="14">
        <v>88.66</v>
      </c>
      <c r="F59" s="14">
        <v>6092.18</v>
      </c>
    </row>
    <row r="60" spans="1:6" x14ac:dyDescent="0.25">
      <c r="A60" s="11">
        <v>45831</v>
      </c>
      <c r="B60" s="13">
        <v>29.88</v>
      </c>
      <c r="C60" s="14">
        <v>110.71</v>
      </c>
      <c r="D60" s="16">
        <v>145.24</v>
      </c>
      <c r="E60" s="14">
        <v>90.96</v>
      </c>
      <c r="F60" s="14">
        <v>6025.17</v>
      </c>
    </row>
    <row r="61" spans="1:6" x14ac:dyDescent="0.25">
      <c r="A61" s="11">
        <v>45828</v>
      </c>
      <c r="B61" s="13">
        <v>30.8</v>
      </c>
      <c r="C61" s="14">
        <v>113.64</v>
      </c>
      <c r="D61" s="15">
        <v>147.9</v>
      </c>
      <c r="E61" s="14">
        <v>93.92</v>
      </c>
      <c r="F61" s="14">
        <v>5967.84</v>
      </c>
    </row>
    <row r="62" spans="1:6" x14ac:dyDescent="0.25">
      <c r="A62" s="11">
        <v>45826</v>
      </c>
      <c r="B62" s="13">
        <v>30.69</v>
      </c>
      <c r="C62" s="14">
        <v>112.15</v>
      </c>
      <c r="D62" s="16">
        <v>146.56</v>
      </c>
      <c r="E62" s="14">
        <v>93.03</v>
      </c>
      <c r="F62" s="14">
        <v>5980.87</v>
      </c>
    </row>
    <row r="63" spans="1:6" x14ac:dyDescent="0.25">
      <c r="A63" s="11">
        <v>45825</v>
      </c>
      <c r="B63" s="13">
        <v>31.13</v>
      </c>
      <c r="C63" s="14">
        <v>112.95</v>
      </c>
      <c r="D63" s="15">
        <v>147.21</v>
      </c>
      <c r="E63" s="14">
        <v>94.72</v>
      </c>
      <c r="F63" s="14">
        <v>5982.72</v>
      </c>
    </row>
    <row r="64" spans="1:6" x14ac:dyDescent="0.25">
      <c r="A64" s="11">
        <v>45824</v>
      </c>
      <c r="B64" s="13">
        <v>30.71</v>
      </c>
      <c r="C64" s="14">
        <v>111.44</v>
      </c>
      <c r="D64" s="16">
        <v>144.41999999999999</v>
      </c>
      <c r="E64" s="14">
        <v>94.22</v>
      </c>
      <c r="F64" s="14">
        <v>6033.11</v>
      </c>
    </row>
    <row r="65" spans="1:6" x14ac:dyDescent="0.25">
      <c r="A65" s="11">
        <v>45821</v>
      </c>
      <c r="B65" s="13">
        <v>31.26</v>
      </c>
      <c r="C65" s="14">
        <v>111.09</v>
      </c>
      <c r="D65" s="15">
        <v>144.30000000000001</v>
      </c>
      <c r="E65" s="14">
        <v>96.17</v>
      </c>
      <c r="F65" s="14">
        <v>5976.97</v>
      </c>
    </row>
    <row r="66" spans="1:6" x14ac:dyDescent="0.25">
      <c r="A66" s="11">
        <v>45820</v>
      </c>
      <c r="B66" s="13">
        <v>30.47</v>
      </c>
      <c r="C66" s="14">
        <v>108.72</v>
      </c>
      <c r="D66" s="16">
        <v>143.37</v>
      </c>
      <c r="E66" s="14">
        <v>93.92</v>
      </c>
      <c r="F66" s="14">
        <v>6045.26</v>
      </c>
    </row>
    <row r="67" spans="1:6" x14ac:dyDescent="0.25">
      <c r="A67" s="11">
        <v>45819</v>
      </c>
      <c r="B67" s="13">
        <v>30.37</v>
      </c>
      <c r="C67" s="14">
        <v>108.3</v>
      </c>
      <c r="D67" s="15">
        <v>143.19</v>
      </c>
      <c r="E67" s="14">
        <v>92.59</v>
      </c>
      <c r="F67" s="14">
        <v>6022.24</v>
      </c>
    </row>
    <row r="68" spans="1:6" x14ac:dyDescent="0.25">
      <c r="A68" s="11">
        <v>45818</v>
      </c>
      <c r="B68" s="13">
        <v>29.79</v>
      </c>
      <c r="C68" s="14">
        <v>106.23</v>
      </c>
      <c r="D68" s="16">
        <v>141.77000000000001</v>
      </c>
      <c r="E68" s="14">
        <v>90.43</v>
      </c>
      <c r="F68" s="14">
        <v>6038.81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8FD3-1E56-4E9C-8640-753F66A843F0}">
  <sheetPr codeName="Sheet2"/>
  <dimension ref="B1:H65"/>
  <sheetViews>
    <sheetView workbookViewId="0">
      <selection activeCell="G2" sqref="G2"/>
    </sheetView>
  </sheetViews>
  <sheetFormatPr defaultRowHeight="15" x14ac:dyDescent="0.25"/>
  <cols>
    <col min="2" max="2" width="10.85546875" customWidth="1"/>
    <col min="8" max="8" width="11.7109375" customWidth="1"/>
  </cols>
  <sheetData>
    <row r="1" spans="2:8" x14ac:dyDescent="0.25">
      <c r="B1" t="s">
        <v>66</v>
      </c>
      <c r="C1" t="s">
        <v>67</v>
      </c>
      <c r="D1" t="s">
        <v>68</v>
      </c>
      <c r="E1" t="s">
        <v>69</v>
      </c>
      <c r="F1" t="s">
        <v>71</v>
      </c>
      <c r="G1" t="s">
        <v>72</v>
      </c>
      <c r="H1" t="s">
        <v>70</v>
      </c>
    </row>
    <row r="2" spans="2:8" x14ac:dyDescent="0.25">
      <c r="B2" s="1">
        <v>45910</v>
      </c>
      <c r="C2" s="2">
        <v>34.19</v>
      </c>
      <c r="D2" s="2">
        <v>34.770000000000003</v>
      </c>
      <c r="E2" s="2">
        <v>34.130000000000003</v>
      </c>
      <c r="F2" s="2">
        <v>34.76</v>
      </c>
      <c r="G2" s="2">
        <v>34.76</v>
      </c>
      <c r="H2" s="3">
        <v>5216112</v>
      </c>
    </row>
    <row r="3" spans="2:8" x14ac:dyDescent="0.25">
      <c r="B3" s="1">
        <v>45909</v>
      </c>
      <c r="C3" s="2">
        <v>34.49</v>
      </c>
      <c r="D3" s="2">
        <v>34.76</v>
      </c>
      <c r="E3" s="2">
        <v>34.07</v>
      </c>
      <c r="F3" s="2">
        <v>34.090000000000003</v>
      </c>
      <c r="G3" s="2">
        <v>34.090000000000003</v>
      </c>
      <c r="H3" s="3">
        <v>6604600</v>
      </c>
    </row>
    <row r="4" spans="2:8" x14ac:dyDescent="0.25">
      <c r="B4" s="1">
        <v>45908</v>
      </c>
      <c r="C4" s="2">
        <v>34.17</v>
      </c>
      <c r="D4" s="2">
        <v>34.270000000000003</v>
      </c>
      <c r="E4" s="2">
        <v>33.700000000000003</v>
      </c>
      <c r="F4" s="2">
        <v>33.909999999999997</v>
      </c>
      <c r="G4" s="2">
        <v>33.909999999999997</v>
      </c>
      <c r="H4" s="3">
        <v>5795300</v>
      </c>
    </row>
    <row r="5" spans="2:8" x14ac:dyDescent="0.25">
      <c r="B5" s="1">
        <v>45905</v>
      </c>
      <c r="C5" s="2">
        <v>34.08</v>
      </c>
      <c r="D5" s="2">
        <v>34.18</v>
      </c>
      <c r="E5" s="2">
        <v>33.69</v>
      </c>
      <c r="F5" s="2">
        <v>33.93</v>
      </c>
      <c r="G5" s="2">
        <v>33.93</v>
      </c>
      <c r="H5" s="3">
        <v>7857900</v>
      </c>
    </row>
    <row r="6" spans="2:8" x14ac:dyDescent="0.25">
      <c r="B6" s="1">
        <v>45904</v>
      </c>
      <c r="C6" s="2">
        <v>34.35</v>
      </c>
      <c r="D6" s="2">
        <v>34.53</v>
      </c>
      <c r="E6" s="2">
        <v>34.19</v>
      </c>
      <c r="F6" s="2">
        <v>34.299999999999997</v>
      </c>
      <c r="G6" s="2">
        <v>34.299999999999997</v>
      </c>
      <c r="H6" s="3">
        <v>6020200</v>
      </c>
    </row>
    <row r="7" spans="2:8" x14ac:dyDescent="0.25">
      <c r="B7" s="1">
        <v>45903</v>
      </c>
      <c r="C7" s="2">
        <v>35.08</v>
      </c>
      <c r="D7" s="2">
        <v>35.14</v>
      </c>
      <c r="E7" s="2">
        <v>34.409999999999997</v>
      </c>
      <c r="F7" s="2">
        <v>34.46</v>
      </c>
      <c r="G7" s="2">
        <v>34.46</v>
      </c>
      <c r="H7" s="3">
        <v>10263500</v>
      </c>
    </row>
    <row r="8" spans="2:8" x14ac:dyDescent="0.25">
      <c r="B8" s="1">
        <v>45902</v>
      </c>
      <c r="C8" s="2">
        <v>34.770000000000003</v>
      </c>
      <c r="D8" s="2">
        <v>35.26</v>
      </c>
      <c r="E8" s="2">
        <v>34.69</v>
      </c>
      <c r="F8" s="2">
        <v>35.229999999999997</v>
      </c>
      <c r="G8" s="2">
        <v>35.229999999999997</v>
      </c>
      <c r="H8" s="3">
        <v>8468600</v>
      </c>
    </row>
    <row r="9" spans="2:8" x14ac:dyDescent="0.25">
      <c r="B9" s="1">
        <v>45898</v>
      </c>
      <c r="C9" s="2">
        <v>35.18</v>
      </c>
      <c r="D9" s="2">
        <v>35.42</v>
      </c>
      <c r="E9" s="2">
        <v>35.1</v>
      </c>
      <c r="F9" s="2">
        <v>35.229999999999997</v>
      </c>
      <c r="G9" s="2">
        <v>35.229999999999997</v>
      </c>
      <c r="H9" s="3">
        <v>7701000</v>
      </c>
    </row>
    <row r="10" spans="2:8" x14ac:dyDescent="0.25">
      <c r="B10" s="1">
        <v>45897</v>
      </c>
      <c r="C10" s="2">
        <v>34.799999999999997</v>
      </c>
      <c r="D10" s="2">
        <v>35.380000000000003</v>
      </c>
      <c r="E10" s="2">
        <v>34.61</v>
      </c>
      <c r="F10" s="2">
        <v>35.35</v>
      </c>
      <c r="G10" s="2">
        <v>35.35</v>
      </c>
      <c r="H10" s="3">
        <v>7983500</v>
      </c>
    </row>
    <row r="11" spans="2:8" x14ac:dyDescent="0.25">
      <c r="B11" s="1">
        <v>45896</v>
      </c>
      <c r="C11" s="2">
        <v>34.47</v>
      </c>
      <c r="D11" s="2">
        <v>35.08</v>
      </c>
      <c r="E11" s="2">
        <v>34.450000000000003</v>
      </c>
      <c r="F11" s="2">
        <v>34.89</v>
      </c>
      <c r="G11" s="2">
        <v>34.89</v>
      </c>
      <c r="H11" s="3">
        <v>8118000</v>
      </c>
    </row>
    <row r="12" spans="2:8" x14ac:dyDescent="0.25">
      <c r="B12" s="1">
        <v>45895</v>
      </c>
      <c r="C12" s="2">
        <v>34.46</v>
      </c>
      <c r="D12" s="2">
        <v>34.71</v>
      </c>
      <c r="E12" s="2">
        <v>34.35</v>
      </c>
      <c r="F12" s="2">
        <v>34.67</v>
      </c>
      <c r="G12" s="2">
        <v>34.67</v>
      </c>
      <c r="H12" s="3">
        <v>5592000</v>
      </c>
    </row>
    <row r="13" spans="2:8" x14ac:dyDescent="0.25">
      <c r="B13" s="1">
        <v>45894</v>
      </c>
      <c r="C13" s="2">
        <v>34.61</v>
      </c>
      <c r="D13" s="2">
        <v>35</v>
      </c>
      <c r="E13" s="2">
        <v>34.590000000000003</v>
      </c>
      <c r="F13" s="2">
        <v>34.97</v>
      </c>
      <c r="G13" s="2">
        <v>34.97</v>
      </c>
      <c r="H13" s="3">
        <v>5124500</v>
      </c>
    </row>
    <row r="14" spans="2:8" x14ac:dyDescent="0.25">
      <c r="B14" s="1">
        <v>45891</v>
      </c>
      <c r="C14" s="2">
        <v>34.08</v>
      </c>
      <c r="D14" s="2">
        <v>34.75</v>
      </c>
      <c r="E14" s="2">
        <v>34.04</v>
      </c>
      <c r="F14" s="2">
        <v>34.74</v>
      </c>
      <c r="G14" s="2">
        <v>34.74</v>
      </c>
      <c r="H14" s="3">
        <v>7453900</v>
      </c>
    </row>
    <row r="15" spans="2:8" x14ac:dyDescent="0.25">
      <c r="B15" s="1">
        <v>45890</v>
      </c>
      <c r="C15" s="2">
        <v>33.83</v>
      </c>
      <c r="D15" s="2">
        <v>34.06</v>
      </c>
      <c r="E15" s="2">
        <v>33.69</v>
      </c>
      <c r="F15" s="2">
        <v>34.049999999999997</v>
      </c>
      <c r="G15" s="2">
        <v>34.049999999999997</v>
      </c>
      <c r="H15" s="3">
        <v>4933500</v>
      </c>
    </row>
    <row r="16" spans="2:8" x14ac:dyDescent="0.25">
      <c r="B16" s="1">
        <v>45889</v>
      </c>
      <c r="C16" s="2">
        <v>33.950000000000003</v>
      </c>
      <c r="D16" s="2">
        <v>34.11</v>
      </c>
      <c r="E16" s="2">
        <v>33.78</v>
      </c>
      <c r="F16" s="2">
        <v>33.880000000000003</v>
      </c>
      <c r="G16" s="2">
        <v>33.880000000000003</v>
      </c>
      <c r="H16" s="3">
        <v>6028700</v>
      </c>
    </row>
    <row r="17" spans="2:8" x14ac:dyDescent="0.25">
      <c r="B17" s="1">
        <v>45888</v>
      </c>
      <c r="C17" s="2">
        <v>34.03</v>
      </c>
      <c r="D17" s="2">
        <v>34.24</v>
      </c>
      <c r="E17" s="2">
        <v>33.72</v>
      </c>
      <c r="F17" s="2">
        <v>33.82</v>
      </c>
      <c r="G17" s="2">
        <v>33.82</v>
      </c>
      <c r="H17" s="3">
        <v>4965000</v>
      </c>
    </row>
    <row r="18" spans="2:8" x14ac:dyDescent="0.25">
      <c r="B18" s="1">
        <v>45887</v>
      </c>
      <c r="C18" s="2">
        <v>33.96</v>
      </c>
      <c r="D18" s="2">
        <v>34.17</v>
      </c>
      <c r="E18" s="2">
        <v>33.799999999999997</v>
      </c>
      <c r="F18" s="2">
        <v>34.049999999999997</v>
      </c>
      <c r="G18" s="2">
        <v>34.049999999999997</v>
      </c>
      <c r="H18" s="3">
        <v>5690400</v>
      </c>
    </row>
    <row r="19" spans="2:8" x14ac:dyDescent="0.25">
      <c r="B19" s="1">
        <v>45884</v>
      </c>
      <c r="C19" s="2">
        <v>34</v>
      </c>
      <c r="D19" s="2">
        <v>34.630000000000003</v>
      </c>
      <c r="E19" s="2">
        <v>33.950000000000003</v>
      </c>
      <c r="F19" s="2">
        <v>34.33</v>
      </c>
      <c r="G19" s="2">
        <v>34.33</v>
      </c>
      <c r="H19" s="3">
        <v>10608200</v>
      </c>
    </row>
    <row r="20" spans="2:8" x14ac:dyDescent="0.25">
      <c r="B20" s="1">
        <v>45883</v>
      </c>
      <c r="C20" s="2">
        <v>34</v>
      </c>
      <c r="D20" s="2">
        <v>34.65</v>
      </c>
      <c r="E20" s="2">
        <v>33.9</v>
      </c>
      <c r="F20" s="2">
        <v>34.64</v>
      </c>
      <c r="G20" s="2">
        <v>34.14</v>
      </c>
      <c r="H20" s="3">
        <v>9440700</v>
      </c>
    </row>
    <row r="21" spans="2:8" x14ac:dyDescent="0.25">
      <c r="B21" s="1">
        <v>45882</v>
      </c>
      <c r="C21" s="2">
        <v>33.94</v>
      </c>
      <c r="D21" s="2">
        <v>34.31</v>
      </c>
      <c r="E21" s="2">
        <v>33.92</v>
      </c>
      <c r="F21" s="2">
        <v>34.31</v>
      </c>
      <c r="G21" s="2">
        <v>33.82</v>
      </c>
      <c r="H21" s="3">
        <v>7190800</v>
      </c>
    </row>
    <row r="22" spans="2:8" x14ac:dyDescent="0.25">
      <c r="B22" s="1">
        <v>45881</v>
      </c>
      <c r="C22" s="2">
        <v>34.049999999999997</v>
      </c>
      <c r="D22" s="2">
        <v>34.380000000000003</v>
      </c>
      <c r="E22" s="2">
        <v>33.96</v>
      </c>
      <c r="F22" s="2">
        <v>34.07</v>
      </c>
      <c r="G22" s="2">
        <v>33.58</v>
      </c>
      <c r="H22" s="3">
        <v>4688900</v>
      </c>
    </row>
    <row r="23" spans="2:8" x14ac:dyDescent="0.25">
      <c r="B23" s="1">
        <v>45880</v>
      </c>
      <c r="C23" s="2">
        <v>34.22</v>
      </c>
      <c r="D23" s="2">
        <v>34.340000000000003</v>
      </c>
      <c r="E23" s="2">
        <v>33.880000000000003</v>
      </c>
      <c r="F23" s="2">
        <v>33.950000000000003</v>
      </c>
      <c r="G23" s="2">
        <v>33.46</v>
      </c>
      <c r="H23" s="3">
        <v>4857200</v>
      </c>
    </row>
    <row r="24" spans="2:8" x14ac:dyDescent="0.25">
      <c r="B24" s="1">
        <v>45877</v>
      </c>
      <c r="C24" s="2">
        <v>34.11</v>
      </c>
      <c r="D24" s="2">
        <v>34.380000000000003</v>
      </c>
      <c r="E24" s="2">
        <v>33.93</v>
      </c>
      <c r="F24" s="2">
        <v>34.14</v>
      </c>
      <c r="G24" s="2">
        <v>33.65</v>
      </c>
      <c r="H24" s="3">
        <v>6304000</v>
      </c>
    </row>
    <row r="25" spans="2:8" x14ac:dyDescent="0.25">
      <c r="B25" s="1">
        <v>45876</v>
      </c>
      <c r="C25" s="2">
        <v>34.21</v>
      </c>
      <c r="D25" s="2">
        <v>34.630000000000003</v>
      </c>
      <c r="E25" s="2">
        <v>34.1</v>
      </c>
      <c r="F25" s="2">
        <v>34.19</v>
      </c>
      <c r="G25" s="2">
        <v>33.700000000000003</v>
      </c>
      <c r="H25" s="3">
        <v>10582300</v>
      </c>
    </row>
    <row r="26" spans="2:8" x14ac:dyDescent="0.25">
      <c r="B26" s="1">
        <v>45875</v>
      </c>
      <c r="C26" s="2">
        <v>34.15</v>
      </c>
      <c r="D26" s="2">
        <v>34.659999999999997</v>
      </c>
      <c r="E26" s="2">
        <v>33.74</v>
      </c>
      <c r="F26" s="2">
        <v>33.880000000000003</v>
      </c>
      <c r="G26" s="2">
        <v>33.39</v>
      </c>
      <c r="H26" s="3">
        <v>11067700</v>
      </c>
    </row>
    <row r="27" spans="2:8" x14ac:dyDescent="0.25">
      <c r="B27" s="1">
        <v>45874</v>
      </c>
      <c r="C27" s="2">
        <v>32.92</v>
      </c>
      <c r="D27" s="2">
        <v>33.6</v>
      </c>
      <c r="E27" s="2">
        <v>32.69</v>
      </c>
      <c r="F27" s="2">
        <v>33.6</v>
      </c>
      <c r="G27" s="2">
        <v>33.119999999999997</v>
      </c>
      <c r="H27" s="3">
        <v>14440000</v>
      </c>
    </row>
    <row r="28" spans="2:8" x14ac:dyDescent="0.25">
      <c r="B28" s="1">
        <v>45873</v>
      </c>
      <c r="C28" s="2">
        <v>32.21</v>
      </c>
      <c r="D28" s="2">
        <v>32.64</v>
      </c>
      <c r="E28" s="2">
        <v>31.98</v>
      </c>
      <c r="F28" s="2">
        <v>32.49</v>
      </c>
      <c r="G28" s="2">
        <v>32.020000000000003</v>
      </c>
      <c r="H28" s="3">
        <v>13559300</v>
      </c>
    </row>
    <row r="29" spans="2:8" x14ac:dyDescent="0.25">
      <c r="B29" s="1">
        <v>45870</v>
      </c>
      <c r="C29" s="2">
        <v>32.04</v>
      </c>
      <c r="D29" s="2">
        <v>32.119999999999997</v>
      </c>
      <c r="E29" s="2">
        <v>31.59</v>
      </c>
      <c r="F29" s="2">
        <v>31.75</v>
      </c>
      <c r="G29" s="2">
        <v>31.29</v>
      </c>
      <c r="H29" s="3">
        <v>8591900</v>
      </c>
    </row>
    <row r="30" spans="2:8" x14ac:dyDescent="0.25">
      <c r="B30" s="1">
        <v>45869</v>
      </c>
      <c r="C30" s="2">
        <v>31.86</v>
      </c>
      <c r="D30" s="2">
        <v>32.299999999999997</v>
      </c>
      <c r="E30" s="2">
        <v>31.8</v>
      </c>
      <c r="F30" s="2">
        <v>32.15</v>
      </c>
      <c r="G30" s="2">
        <v>31.69</v>
      </c>
      <c r="H30" s="3">
        <v>5346000</v>
      </c>
    </row>
    <row r="31" spans="2:8" x14ac:dyDescent="0.25">
      <c r="B31" s="1">
        <v>45868</v>
      </c>
      <c r="C31" s="2">
        <v>32.32</v>
      </c>
      <c r="D31" s="2">
        <v>32.49</v>
      </c>
      <c r="E31" s="2">
        <v>31.96</v>
      </c>
      <c r="F31" s="2">
        <v>32.25</v>
      </c>
      <c r="G31" s="2">
        <v>31.79</v>
      </c>
      <c r="H31" s="3">
        <v>7183900</v>
      </c>
    </row>
    <row r="32" spans="2:8" x14ac:dyDescent="0.25">
      <c r="B32" s="1">
        <v>45867</v>
      </c>
      <c r="C32" s="2">
        <v>32.64</v>
      </c>
      <c r="D32" s="2">
        <v>32.97</v>
      </c>
      <c r="E32" s="2">
        <v>32.42</v>
      </c>
      <c r="F32" s="2">
        <v>32.96</v>
      </c>
      <c r="G32" s="2">
        <v>32.49</v>
      </c>
      <c r="H32" s="3">
        <v>4878000</v>
      </c>
    </row>
    <row r="33" spans="2:8" x14ac:dyDescent="0.25">
      <c r="B33" s="1">
        <v>45866</v>
      </c>
      <c r="C33" s="2">
        <v>32.32</v>
      </c>
      <c r="D33" s="2">
        <v>32.729999999999997</v>
      </c>
      <c r="E33" s="2">
        <v>32.31</v>
      </c>
      <c r="F33" s="2">
        <v>32.67</v>
      </c>
      <c r="G33" s="2">
        <v>32.200000000000003</v>
      </c>
      <c r="H33" s="3">
        <v>5528400</v>
      </c>
    </row>
    <row r="34" spans="2:8" x14ac:dyDescent="0.25">
      <c r="B34" s="1">
        <v>45863</v>
      </c>
      <c r="C34" s="2">
        <v>32</v>
      </c>
      <c r="D34" s="2">
        <v>32.24</v>
      </c>
      <c r="E34" s="2">
        <v>31.65</v>
      </c>
      <c r="F34" s="2">
        <v>32.200000000000003</v>
      </c>
      <c r="G34" s="2">
        <v>31.74</v>
      </c>
      <c r="H34" s="3">
        <v>7033600</v>
      </c>
    </row>
    <row r="35" spans="2:8" x14ac:dyDescent="0.25">
      <c r="B35" s="1">
        <v>45862</v>
      </c>
      <c r="C35" s="2">
        <v>32.39</v>
      </c>
      <c r="D35" s="2">
        <v>32.56</v>
      </c>
      <c r="E35" s="2">
        <v>31.97</v>
      </c>
      <c r="F35" s="2">
        <v>32.130000000000003</v>
      </c>
      <c r="G35" s="2">
        <v>31.67</v>
      </c>
      <c r="H35" s="3">
        <v>12436000</v>
      </c>
    </row>
    <row r="36" spans="2:8" x14ac:dyDescent="0.25">
      <c r="B36" s="1">
        <v>45861</v>
      </c>
      <c r="C36" s="2">
        <v>32.85</v>
      </c>
      <c r="D36" s="2">
        <v>33.07</v>
      </c>
      <c r="E36" s="2">
        <v>32.64</v>
      </c>
      <c r="F36" s="2">
        <v>32.71</v>
      </c>
      <c r="G36" s="2">
        <v>32.24</v>
      </c>
      <c r="H36" s="3">
        <v>12579500</v>
      </c>
    </row>
    <row r="37" spans="2:8" x14ac:dyDescent="0.25">
      <c r="B37" s="1">
        <v>45860</v>
      </c>
      <c r="C37" s="2">
        <v>32.409999999999997</v>
      </c>
      <c r="D37" s="2">
        <v>32.729999999999997</v>
      </c>
      <c r="E37" s="2">
        <v>32.380000000000003</v>
      </c>
      <c r="F37" s="2">
        <v>32.520000000000003</v>
      </c>
      <c r="G37" s="2">
        <v>32.049999999999997</v>
      </c>
      <c r="H37" s="3">
        <v>6791100</v>
      </c>
    </row>
    <row r="38" spans="2:8" x14ac:dyDescent="0.25">
      <c r="B38" s="1">
        <v>45859</v>
      </c>
      <c r="C38" s="2">
        <v>32.39</v>
      </c>
      <c r="D38" s="2">
        <v>32.450000000000003</v>
      </c>
      <c r="E38" s="2">
        <v>32.11</v>
      </c>
      <c r="F38" s="2">
        <v>32.229999999999997</v>
      </c>
      <c r="G38" s="2">
        <v>31.77</v>
      </c>
      <c r="H38" s="3">
        <v>6890300</v>
      </c>
    </row>
    <row r="39" spans="2:8" x14ac:dyDescent="0.25">
      <c r="B39" s="1">
        <v>45856</v>
      </c>
      <c r="C39" s="2">
        <v>32.5</v>
      </c>
      <c r="D39" s="2">
        <v>32.58</v>
      </c>
      <c r="E39" s="2">
        <v>31.9</v>
      </c>
      <c r="F39" s="2">
        <v>31.99</v>
      </c>
      <c r="G39" s="2">
        <v>31.53</v>
      </c>
      <c r="H39" s="3">
        <v>6224700</v>
      </c>
    </row>
    <row r="40" spans="2:8" x14ac:dyDescent="0.25">
      <c r="B40" s="1">
        <v>45855</v>
      </c>
      <c r="C40" s="2">
        <v>31.78</v>
      </c>
      <c r="D40" s="2">
        <v>32.159999999999997</v>
      </c>
      <c r="E40" s="2">
        <v>31.71</v>
      </c>
      <c r="F40" s="2">
        <v>32.090000000000003</v>
      </c>
      <c r="G40" s="2">
        <v>31.63</v>
      </c>
      <c r="H40" s="3">
        <v>3858700</v>
      </c>
    </row>
    <row r="41" spans="2:8" x14ac:dyDescent="0.25">
      <c r="B41" s="1">
        <v>45854</v>
      </c>
      <c r="C41" s="2">
        <v>32</v>
      </c>
      <c r="D41" s="2">
        <v>32.159999999999997</v>
      </c>
      <c r="E41" s="2">
        <v>31.73</v>
      </c>
      <c r="F41" s="2">
        <v>31.92</v>
      </c>
      <c r="G41" s="2">
        <v>31.46</v>
      </c>
      <c r="H41" s="3">
        <v>5791600</v>
      </c>
    </row>
    <row r="42" spans="2:8" x14ac:dyDescent="0.25">
      <c r="B42" s="1">
        <v>45853</v>
      </c>
      <c r="C42" s="2">
        <v>32.06</v>
      </c>
      <c r="D42" s="2">
        <v>32.159999999999997</v>
      </c>
      <c r="E42" s="2">
        <v>31.76</v>
      </c>
      <c r="F42" s="2">
        <v>31.86</v>
      </c>
      <c r="G42" s="2">
        <v>31.4</v>
      </c>
      <c r="H42" s="3">
        <v>6278400</v>
      </c>
    </row>
    <row r="43" spans="2:8" x14ac:dyDescent="0.25">
      <c r="B43" s="1">
        <v>45852</v>
      </c>
      <c r="C43" s="2">
        <v>32.42</v>
      </c>
      <c r="D43" s="2">
        <v>32.43</v>
      </c>
      <c r="E43" s="2">
        <v>31.89</v>
      </c>
      <c r="F43" s="2">
        <v>32.1</v>
      </c>
      <c r="G43" s="2">
        <v>31.64</v>
      </c>
      <c r="H43" s="3">
        <v>5790500</v>
      </c>
    </row>
    <row r="44" spans="2:8" x14ac:dyDescent="0.25">
      <c r="B44" s="1">
        <v>45849</v>
      </c>
      <c r="C44" s="2">
        <v>32.08</v>
      </c>
      <c r="D44" s="2">
        <v>32.799999999999997</v>
      </c>
      <c r="E44" s="2">
        <v>32.04</v>
      </c>
      <c r="F44" s="2">
        <v>32.64</v>
      </c>
      <c r="G44" s="2">
        <v>32.17</v>
      </c>
      <c r="H44" s="3">
        <v>12723400</v>
      </c>
    </row>
    <row r="45" spans="2:8" x14ac:dyDescent="0.25">
      <c r="B45" s="1">
        <v>45848</v>
      </c>
      <c r="C45" s="2">
        <v>31.09</v>
      </c>
      <c r="D45" s="2">
        <v>31.61</v>
      </c>
      <c r="E45" s="2">
        <v>31.01</v>
      </c>
      <c r="F45" s="2">
        <v>31.52</v>
      </c>
      <c r="G45" s="2">
        <v>31.07</v>
      </c>
      <c r="H45" s="3">
        <v>6561800</v>
      </c>
    </row>
    <row r="46" spans="2:8" x14ac:dyDescent="0.25">
      <c r="B46" s="1">
        <v>45847</v>
      </c>
      <c r="C46" s="2">
        <v>31.64</v>
      </c>
      <c r="D46" s="2">
        <v>31.69</v>
      </c>
      <c r="E46" s="2">
        <v>31.12</v>
      </c>
      <c r="F46" s="2">
        <v>31.27</v>
      </c>
      <c r="G46" s="2">
        <v>30.82</v>
      </c>
      <c r="H46" s="3">
        <v>8325100</v>
      </c>
    </row>
    <row r="47" spans="2:8" x14ac:dyDescent="0.25">
      <c r="B47" s="1">
        <v>45846</v>
      </c>
      <c r="C47" s="2">
        <v>30.36</v>
      </c>
      <c r="D47" s="2">
        <v>31.43</v>
      </c>
      <c r="E47" s="2">
        <v>30.32</v>
      </c>
      <c r="F47" s="2">
        <v>31.27</v>
      </c>
      <c r="G47" s="2">
        <v>30.82</v>
      </c>
      <c r="H47" s="3">
        <v>9379500</v>
      </c>
    </row>
    <row r="48" spans="2:8" x14ac:dyDescent="0.25">
      <c r="B48" s="1">
        <v>45845</v>
      </c>
      <c r="C48" s="2">
        <v>30.38</v>
      </c>
      <c r="D48" s="2">
        <v>30.55</v>
      </c>
      <c r="E48" s="2">
        <v>29.99</v>
      </c>
      <c r="F48" s="2">
        <v>30.25</v>
      </c>
      <c r="G48" s="2">
        <v>29.81</v>
      </c>
      <c r="H48" s="3">
        <v>6653200</v>
      </c>
    </row>
    <row r="49" spans="2:8" x14ac:dyDescent="0.25">
      <c r="B49" s="1">
        <v>45841</v>
      </c>
      <c r="C49" s="2">
        <v>31.14</v>
      </c>
      <c r="D49" s="2">
        <v>31.33</v>
      </c>
      <c r="E49" s="2">
        <v>30.87</v>
      </c>
      <c r="F49" s="2">
        <v>30.93</v>
      </c>
      <c r="G49" s="2">
        <v>30.48</v>
      </c>
      <c r="H49" s="3">
        <v>3931600</v>
      </c>
    </row>
    <row r="50" spans="2:8" x14ac:dyDescent="0.25">
      <c r="B50" s="1">
        <v>45840</v>
      </c>
      <c r="C50" s="2">
        <v>31.09</v>
      </c>
      <c r="D50" s="2">
        <v>31.42</v>
      </c>
      <c r="E50" s="2">
        <v>30.64</v>
      </c>
      <c r="F50" s="2">
        <v>31.3</v>
      </c>
      <c r="G50" s="2">
        <v>30.85</v>
      </c>
      <c r="H50" s="3">
        <v>8124700</v>
      </c>
    </row>
    <row r="51" spans="2:8" x14ac:dyDescent="0.25">
      <c r="B51" s="1">
        <v>45839</v>
      </c>
      <c r="C51" s="2">
        <v>30.13</v>
      </c>
      <c r="D51" s="2">
        <v>30.58</v>
      </c>
      <c r="E51" s="2">
        <v>29.96</v>
      </c>
      <c r="F51" s="2">
        <v>30.5</v>
      </c>
      <c r="G51" s="2">
        <v>30.06</v>
      </c>
      <c r="H51" s="3">
        <v>8426500</v>
      </c>
    </row>
    <row r="52" spans="2:8" x14ac:dyDescent="0.25">
      <c r="B52" s="1">
        <v>45838</v>
      </c>
      <c r="C52" s="2">
        <v>30</v>
      </c>
      <c r="D52" s="2">
        <v>30.15</v>
      </c>
      <c r="E52" s="2">
        <v>29.86</v>
      </c>
      <c r="F52" s="2">
        <v>29.93</v>
      </c>
      <c r="G52" s="2">
        <v>29.5</v>
      </c>
      <c r="H52" s="3">
        <v>7521200</v>
      </c>
    </row>
    <row r="53" spans="2:8" x14ac:dyDescent="0.25">
      <c r="B53" s="1">
        <v>45835</v>
      </c>
      <c r="C53" s="2">
        <v>30.38</v>
      </c>
      <c r="D53" s="2">
        <v>30.56</v>
      </c>
      <c r="E53" s="2">
        <v>30.18</v>
      </c>
      <c r="F53" s="2">
        <v>30.34</v>
      </c>
      <c r="G53" s="2">
        <v>29.9</v>
      </c>
      <c r="H53" s="3">
        <v>11134700</v>
      </c>
    </row>
    <row r="54" spans="2:8" x14ac:dyDescent="0.25">
      <c r="B54" s="1">
        <v>45834</v>
      </c>
      <c r="C54" s="2">
        <v>30.3</v>
      </c>
      <c r="D54" s="2">
        <v>30.61</v>
      </c>
      <c r="E54" s="2">
        <v>30.03</v>
      </c>
      <c r="F54" s="2">
        <v>30.29</v>
      </c>
      <c r="G54" s="2">
        <v>29.85</v>
      </c>
      <c r="H54" s="3">
        <v>14192700</v>
      </c>
    </row>
    <row r="55" spans="2:8" x14ac:dyDescent="0.25">
      <c r="B55" s="1">
        <v>45833</v>
      </c>
      <c r="C55" s="2">
        <v>29.7</v>
      </c>
      <c r="D55" s="2">
        <v>32.94</v>
      </c>
      <c r="E55" s="2">
        <v>29.58</v>
      </c>
      <c r="F55" s="2">
        <v>30.32</v>
      </c>
      <c r="G55" s="2">
        <v>29.88</v>
      </c>
      <c r="H55" s="3">
        <v>66997000</v>
      </c>
    </row>
    <row r="56" spans="2:8" x14ac:dyDescent="0.25">
      <c r="B56" s="1">
        <v>45832</v>
      </c>
      <c r="C56" s="2">
        <v>29.86</v>
      </c>
      <c r="D56" s="2">
        <v>30.22</v>
      </c>
      <c r="E56" s="2">
        <v>29.78</v>
      </c>
      <c r="F56" s="2">
        <v>29.83</v>
      </c>
      <c r="G56" s="2">
        <v>29.4</v>
      </c>
      <c r="H56" s="3">
        <v>10987900</v>
      </c>
    </row>
    <row r="57" spans="2:8" x14ac:dyDescent="0.25">
      <c r="B57" s="1">
        <v>45831</v>
      </c>
      <c r="C57" s="2">
        <v>31.31</v>
      </c>
      <c r="D57" s="2">
        <v>31.44</v>
      </c>
      <c r="E57" s="2">
        <v>30.32</v>
      </c>
      <c r="F57" s="2">
        <v>30.32</v>
      </c>
      <c r="G57" s="2">
        <v>29.88</v>
      </c>
      <c r="H57" s="3">
        <v>14795600</v>
      </c>
    </row>
    <row r="58" spans="2:8" x14ac:dyDescent="0.25">
      <c r="B58" s="1">
        <v>45828</v>
      </c>
      <c r="C58" s="2">
        <v>31.3</v>
      </c>
      <c r="D58" s="2">
        <v>31.43</v>
      </c>
      <c r="E58" s="2">
        <v>30.97</v>
      </c>
      <c r="F58" s="2">
        <v>31.25</v>
      </c>
      <c r="G58" s="2">
        <v>30.8</v>
      </c>
      <c r="H58" s="3">
        <v>13800700</v>
      </c>
    </row>
    <row r="59" spans="2:8" x14ac:dyDescent="0.25">
      <c r="B59" s="1">
        <v>45826</v>
      </c>
      <c r="C59" s="2">
        <v>31.48</v>
      </c>
      <c r="D59" s="2">
        <v>31.6</v>
      </c>
      <c r="E59" s="2">
        <v>30.97</v>
      </c>
      <c r="F59" s="2">
        <v>31.14</v>
      </c>
      <c r="G59" s="2">
        <v>30.69</v>
      </c>
      <c r="H59" s="3">
        <v>8627200</v>
      </c>
    </row>
    <row r="60" spans="2:8" x14ac:dyDescent="0.25">
      <c r="B60" s="1">
        <v>45825</v>
      </c>
      <c r="C60" s="2">
        <v>31.66</v>
      </c>
      <c r="D60" s="2">
        <v>31.81</v>
      </c>
      <c r="E60" s="2">
        <v>31.43</v>
      </c>
      <c r="F60" s="2">
        <v>31.58</v>
      </c>
      <c r="G60" s="2">
        <v>31.13</v>
      </c>
      <c r="H60" s="3">
        <v>9465900</v>
      </c>
    </row>
    <row r="61" spans="2:8" x14ac:dyDescent="0.25">
      <c r="B61" s="1">
        <v>45824</v>
      </c>
      <c r="C61" s="2">
        <v>31.37</v>
      </c>
      <c r="D61" s="2">
        <v>31.58</v>
      </c>
      <c r="E61" s="2">
        <v>30.94</v>
      </c>
      <c r="F61" s="2">
        <v>31.16</v>
      </c>
      <c r="G61" s="2">
        <v>30.71</v>
      </c>
      <c r="H61" s="3">
        <v>11189100</v>
      </c>
    </row>
    <row r="62" spans="2:8" x14ac:dyDescent="0.25">
      <c r="B62" s="1">
        <v>45821</v>
      </c>
      <c r="C62" s="2">
        <v>31.59</v>
      </c>
      <c r="D62" s="2">
        <v>31.76</v>
      </c>
      <c r="E62" s="2">
        <v>31.22</v>
      </c>
      <c r="F62" s="2">
        <v>31.72</v>
      </c>
      <c r="G62" s="2">
        <v>31.26</v>
      </c>
      <c r="H62" s="3">
        <v>11179800</v>
      </c>
    </row>
    <row r="63" spans="2:8" x14ac:dyDescent="0.25">
      <c r="B63" s="1">
        <v>45820</v>
      </c>
      <c r="C63" s="2">
        <v>30.91</v>
      </c>
      <c r="D63" s="2">
        <v>31.09</v>
      </c>
      <c r="E63" s="2">
        <v>30.72</v>
      </c>
      <c r="F63" s="2">
        <v>30.92</v>
      </c>
      <c r="G63" s="2">
        <v>30.47</v>
      </c>
      <c r="H63" s="3">
        <v>7944600</v>
      </c>
    </row>
    <row r="64" spans="2:8" x14ac:dyDescent="0.25">
      <c r="B64" s="1">
        <v>45819</v>
      </c>
      <c r="C64" s="2">
        <v>30.44</v>
      </c>
      <c r="D64" s="2">
        <v>30.86</v>
      </c>
      <c r="E64" s="2">
        <v>30.27</v>
      </c>
      <c r="F64" s="2">
        <v>30.81</v>
      </c>
      <c r="G64" s="2">
        <v>30.37</v>
      </c>
      <c r="H64" s="3">
        <v>8810000</v>
      </c>
    </row>
    <row r="65" spans="2:8" x14ac:dyDescent="0.25">
      <c r="B65" s="1">
        <v>45818</v>
      </c>
      <c r="C65" s="2">
        <v>29.97</v>
      </c>
      <c r="D65" s="2">
        <v>30.38</v>
      </c>
      <c r="E65" s="2">
        <v>29.9</v>
      </c>
      <c r="F65" s="2">
        <v>30.23</v>
      </c>
      <c r="G65" s="2">
        <v>29.79</v>
      </c>
      <c r="H65" s="3">
        <v>12844100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CE70-EB46-488D-8844-3F6B6BF63A2D}">
  <sheetPr codeName="Sheet3"/>
  <dimension ref="B1:H65"/>
  <sheetViews>
    <sheetView topLeftCell="A9" workbookViewId="0">
      <selection activeCell="G2" sqref="G2:G65"/>
    </sheetView>
  </sheetViews>
  <sheetFormatPr defaultRowHeight="15" x14ac:dyDescent="0.25"/>
  <cols>
    <col min="2" max="2" width="11.5703125" customWidth="1"/>
    <col min="8" max="8" width="12.42578125" customWidth="1"/>
  </cols>
  <sheetData>
    <row r="1" spans="2:8" x14ac:dyDescent="0.25">
      <c r="B1" t="s">
        <v>66</v>
      </c>
      <c r="C1" t="s">
        <v>67</v>
      </c>
      <c r="D1" t="s">
        <v>68</v>
      </c>
      <c r="E1" t="s">
        <v>69</v>
      </c>
      <c r="F1" t="s">
        <v>71</v>
      </c>
      <c r="G1" t="s">
        <v>72</v>
      </c>
      <c r="H1" t="s">
        <v>70</v>
      </c>
    </row>
    <row r="2" spans="2:8" x14ac:dyDescent="0.25">
      <c r="B2" s="1">
        <v>45910</v>
      </c>
      <c r="C2" s="2">
        <v>111.16</v>
      </c>
      <c r="D2" s="2">
        <v>112.56</v>
      </c>
      <c r="E2" s="2">
        <v>110.84</v>
      </c>
      <c r="F2" s="2">
        <v>112.5</v>
      </c>
      <c r="G2" s="2">
        <v>112.5</v>
      </c>
      <c r="H2" s="3">
        <v>11374313</v>
      </c>
    </row>
    <row r="3" spans="2:8" x14ac:dyDescent="0.25">
      <c r="B3" s="1">
        <v>45909</v>
      </c>
      <c r="C3" s="2">
        <v>110.53</v>
      </c>
      <c r="D3" s="2">
        <v>112.51</v>
      </c>
      <c r="E3" s="2">
        <v>110.53</v>
      </c>
      <c r="F3" s="2">
        <v>110.65</v>
      </c>
      <c r="G3" s="2">
        <v>110.65</v>
      </c>
      <c r="H3" s="3">
        <v>14899500</v>
      </c>
    </row>
    <row r="4" spans="2:8" x14ac:dyDescent="0.25">
      <c r="B4" s="1">
        <v>45908</v>
      </c>
      <c r="C4" s="2">
        <v>109.73</v>
      </c>
      <c r="D4" s="2">
        <v>110.05</v>
      </c>
      <c r="E4" s="2">
        <v>108.35</v>
      </c>
      <c r="F4" s="2">
        <v>109.85</v>
      </c>
      <c r="G4" s="2">
        <v>109.85</v>
      </c>
      <c r="H4" s="3">
        <v>15440500</v>
      </c>
    </row>
    <row r="5" spans="2:8" x14ac:dyDescent="0.25">
      <c r="B5" s="1">
        <v>45905</v>
      </c>
      <c r="C5" s="2">
        <v>111.6</v>
      </c>
      <c r="D5" s="2">
        <v>111.78</v>
      </c>
      <c r="E5" s="2">
        <v>109.02</v>
      </c>
      <c r="F5" s="2">
        <v>109.23</v>
      </c>
      <c r="G5" s="2">
        <v>109.23</v>
      </c>
      <c r="H5" s="3">
        <v>16826700</v>
      </c>
    </row>
    <row r="6" spans="2:8" x14ac:dyDescent="0.25">
      <c r="B6" s="1">
        <v>45904</v>
      </c>
      <c r="C6" s="2">
        <v>112.11</v>
      </c>
      <c r="D6" s="2">
        <v>113.13</v>
      </c>
      <c r="E6" s="2">
        <v>111.38</v>
      </c>
      <c r="F6" s="2">
        <v>112.4</v>
      </c>
      <c r="G6" s="2">
        <v>112.4</v>
      </c>
      <c r="H6" s="3">
        <v>12864400</v>
      </c>
    </row>
    <row r="7" spans="2:8" x14ac:dyDescent="0.25">
      <c r="B7" s="1">
        <v>45903</v>
      </c>
      <c r="C7" s="2">
        <v>113.97</v>
      </c>
      <c r="D7" s="2">
        <v>114.43</v>
      </c>
      <c r="E7" s="2">
        <v>111.46</v>
      </c>
      <c r="F7" s="2">
        <v>111.91</v>
      </c>
      <c r="G7" s="2">
        <v>111.91</v>
      </c>
      <c r="H7" s="3">
        <v>14920100</v>
      </c>
    </row>
    <row r="8" spans="2:8" x14ac:dyDescent="0.25">
      <c r="B8" s="1">
        <v>45902</v>
      </c>
      <c r="C8" s="2">
        <v>114.18</v>
      </c>
      <c r="D8" s="2">
        <v>115.24</v>
      </c>
      <c r="E8" s="2">
        <v>113.33</v>
      </c>
      <c r="F8" s="2">
        <v>114.69</v>
      </c>
      <c r="G8" s="2">
        <v>114.69</v>
      </c>
      <c r="H8" s="3">
        <v>15206700</v>
      </c>
    </row>
    <row r="9" spans="2:8" x14ac:dyDescent="0.25">
      <c r="B9" s="1">
        <v>45898</v>
      </c>
      <c r="C9" s="2">
        <v>113.72</v>
      </c>
      <c r="D9" s="2">
        <v>114.79</v>
      </c>
      <c r="E9" s="2">
        <v>113.58</v>
      </c>
      <c r="F9" s="2">
        <v>114.29</v>
      </c>
      <c r="G9" s="2">
        <v>114.29</v>
      </c>
      <c r="H9" s="3">
        <v>14597900</v>
      </c>
    </row>
    <row r="10" spans="2:8" x14ac:dyDescent="0.25">
      <c r="B10" s="1">
        <v>45897</v>
      </c>
      <c r="C10" s="2">
        <v>112.87</v>
      </c>
      <c r="D10" s="2">
        <v>113.65</v>
      </c>
      <c r="E10" s="2">
        <v>112.07</v>
      </c>
      <c r="F10" s="2">
        <v>113.35</v>
      </c>
      <c r="G10" s="2">
        <v>113.35</v>
      </c>
      <c r="H10" s="3">
        <v>14189800</v>
      </c>
    </row>
    <row r="11" spans="2:8" x14ac:dyDescent="0.25">
      <c r="B11" s="1">
        <v>45896</v>
      </c>
      <c r="C11" s="2">
        <v>111.42</v>
      </c>
      <c r="D11" s="2">
        <v>112.98</v>
      </c>
      <c r="E11" s="2">
        <v>111.42</v>
      </c>
      <c r="F11" s="2">
        <v>112.75</v>
      </c>
      <c r="G11" s="2">
        <v>112.75</v>
      </c>
      <c r="H11" s="3">
        <v>15262600</v>
      </c>
    </row>
    <row r="12" spans="2:8" x14ac:dyDescent="0.25">
      <c r="B12" s="1">
        <v>45895</v>
      </c>
      <c r="C12" s="2">
        <v>111.37</v>
      </c>
      <c r="D12" s="2">
        <v>111.81</v>
      </c>
      <c r="E12" s="2">
        <v>110.36</v>
      </c>
      <c r="F12" s="2">
        <v>111.49</v>
      </c>
      <c r="G12" s="2">
        <v>111.49</v>
      </c>
      <c r="H12" s="3">
        <v>18143900</v>
      </c>
    </row>
    <row r="13" spans="2:8" x14ac:dyDescent="0.25">
      <c r="B13" s="1">
        <v>45894</v>
      </c>
      <c r="C13" s="2">
        <v>110.9</v>
      </c>
      <c r="D13" s="2">
        <v>111.92</v>
      </c>
      <c r="E13" s="2">
        <v>110.54</v>
      </c>
      <c r="F13" s="2">
        <v>111.74</v>
      </c>
      <c r="G13" s="2">
        <v>111.74</v>
      </c>
      <c r="H13" s="3">
        <v>9744900</v>
      </c>
    </row>
    <row r="14" spans="2:8" x14ac:dyDescent="0.25">
      <c r="B14" s="1">
        <v>45891</v>
      </c>
      <c r="C14" s="2">
        <v>109.6</v>
      </c>
      <c r="D14" s="2">
        <v>111.41</v>
      </c>
      <c r="E14" s="2">
        <v>109.6</v>
      </c>
      <c r="F14" s="2">
        <v>111.28</v>
      </c>
      <c r="G14" s="2">
        <v>111.28</v>
      </c>
      <c r="H14" s="3">
        <v>13586700</v>
      </c>
    </row>
    <row r="15" spans="2:8" x14ac:dyDescent="0.25">
      <c r="B15" s="1">
        <v>45890</v>
      </c>
      <c r="C15" s="2">
        <v>108.42</v>
      </c>
      <c r="D15" s="2">
        <v>109.57</v>
      </c>
      <c r="E15" s="2">
        <v>107.96</v>
      </c>
      <c r="F15" s="2">
        <v>109.23</v>
      </c>
      <c r="G15" s="2">
        <v>109.23</v>
      </c>
      <c r="H15" s="3">
        <v>12194900</v>
      </c>
    </row>
    <row r="16" spans="2:8" x14ac:dyDescent="0.25">
      <c r="B16" s="1">
        <v>45889</v>
      </c>
      <c r="C16" s="2">
        <v>107.88</v>
      </c>
      <c r="D16" s="2">
        <v>109.33</v>
      </c>
      <c r="E16" s="2">
        <v>107.68</v>
      </c>
      <c r="F16" s="2">
        <v>108.53</v>
      </c>
      <c r="G16" s="2">
        <v>108.53</v>
      </c>
      <c r="H16" s="3">
        <v>18959700</v>
      </c>
    </row>
    <row r="17" spans="2:8" x14ac:dyDescent="0.25">
      <c r="B17" s="1">
        <v>45888</v>
      </c>
      <c r="C17" s="2">
        <v>106.2</v>
      </c>
      <c r="D17" s="2">
        <v>107.46</v>
      </c>
      <c r="E17" s="2">
        <v>106.15</v>
      </c>
      <c r="F17" s="2">
        <v>107.42</v>
      </c>
      <c r="G17" s="2">
        <v>107.42</v>
      </c>
      <c r="H17" s="3">
        <v>16113600</v>
      </c>
    </row>
    <row r="18" spans="2:8" x14ac:dyDescent="0.25">
      <c r="B18" s="1">
        <v>45887</v>
      </c>
      <c r="C18" s="2">
        <v>106.1</v>
      </c>
      <c r="D18" s="2">
        <v>107.23</v>
      </c>
      <c r="E18" s="2">
        <v>105.67</v>
      </c>
      <c r="F18" s="2">
        <v>106.72</v>
      </c>
      <c r="G18" s="2">
        <v>106.72</v>
      </c>
      <c r="H18" s="3">
        <v>13040000</v>
      </c>
    </row>
    <row r="19" spans="2:8" x14ac:dyDescent="0.25">
      <c r="B19" s="1">
        <v>45884</v>
      </c>
      <c r="C19" s="2">
        <v>106.19</v>
      </c>
      <c r="D19" s="2">
        <v>107.56</v>
      </c>
      <c r="E19" s="2">
        <v>105.95</v>
      </c>
      <c r="F19" s="2">
        <v>106.49</v>
      </c>
      <c r="G19" s="2">
        <v>106.49</v>
      </c>
      <c r="H19" s="3">
        <v>19271900</v>
      </c>
    </row>
    <row r="20" spans="2:8" x14ac:dyDescent="0.25">
      <c r="B20" s="1">
        <v>45883</v>
      </c>
      <c r="C20" s="2">
        <v>107.55</v>
      </c>
      <c r="D20" s="2">
        <v>107.59</v>
      </c>
      <c r="E20" s="2">
        <v>106.44</v>
      </c>
      <c r="F20" s="2">
        <v>107.38</v>
      </c>
      <c r="G20" s="2">
        <v>106.39</v>
      </c>
      <c r="H20" s="3">
        <v>13683500</v>
      </c>
    </row>
    <row r="21" spans="2:8" x14ac:dyDescent="0.25">
      <c r="B21" s="1">
        <v>45882</v>
      </c>
      <c r="C21" s="2">
        <v>106</v>
      </c>
      <c r="D21" s="2">
        <v>107.6</v>
      </c>
      <c r="E21" s="2">
        <v>105.74</v>
      </c>
      <c r="F21" s="2">
        <v>107.6</v>
      </c>
      <c r="G21" s="2">
        <v>106.61</v>
      </c>
      <c r="H21" s="3">
        <v>17958700</v>
      </c>
    </row>
    <row r="22" spans="2:8" x14ac:dyDescent="0.25">
      <c r="B22" s="1">
        <v>45881</v>
      </c>
      <c r="C22" s="2">
        <v>106.34</v>
      </c>
      <c r="D22" s="2">
        <v>107.28</v>
      </c>
      <c r="E22" s="2">
        <v>105.78</v>
      </c>
      <c r="F22" s="2">
        <v>106.13</v>
      </c>
      <c r="G22" s="2">
        <v>105.15</v>
      </c>
      <c r="H22" s="3">
        <v>14109400</v>
      </c>
    </row>
    <row r="23" spans="2:8" x14ac:dyDescent="0.25">
      <c r="B23" s="1">
        <v>45880</v>
      </c>
      <c r="C23" s="2">
        <v>107.11</v>
      </c>
      <c r="D23" s="2">
        <v>107.53</v>
      </c>
      <c r="E23" s="2">
        <v>105.53</v>
      </c>
      <c r="F23" s="2">
        <v>105.83</v>
      </c>
      <c r="G23" s="2">
        <v>104.85</v>
      </c>
      <c r="H23" s="3">
        <v>13570700</v>
      </c>
    </row>
    <row r="24" spans="2:8" x14ac:dyDescent="0.25">
      <c r="B24" s="1">
        <v>45877</v>
      </c>
      <c r="C24" s="2">
        <v>106.5</v>
      </c>
      <c r="D24" s="2">
        <v>107.51</v>
      </c>
      <c r="E24" s="2">
        <v>105.95</v>
      </c>
      <c r="F24" s="2">
        <v>106.8</v>
      </c>
      <c r="G24" s="2">
        <v>105.82</v>
      </c>
      <c r="H24" s="3">
        <v>14417700</v>
      </c>
    </row>
    <row r="25" spans="2:8" x14ac:dyDescent="0.25">
      <c r="B25" s="1">
        <v>45876</v>
      </c>
      <c r="C25" s="2">
        <v>107.14</v>
      </c>
      <c r="D25" s="2">
        <v>108.06</v>
      </c>
      <c r="E25" s="2">
        <v>105.89</v>
      </c>
      <c r="F25" s="2">
        <v>105.95</v>
      </c>
      <c r="G25" s="2">
        <v>104.97</v>
      </c>
      <c r="H25" s="3">
        <v>13468300</v>
      </c>
    </row>
    <row r="26" spans="2:8" x14ac:dyDescent="0.25">
      <c r="B26" s="1">
        <v>45875</v>
      </c>
      <c r="C26" s="2">
        <v>108.31</v>
      </c>
      <c r="D26" s="2">
        <v>109.05</v>
      </c>
      <c r="E26" s="2">
        <v>106.37</v>
      </c>
      <c r="F26" s="2">
        <v>106.51</v>
      </c>
      <c r="G26" s="2">
        <v>105.53</v>
      </c>
      <c r="H26" s="3">
        <v>15321800</v>
      </c>
    </row>
    <row r="27" spans="2:8" x14ac:dyDescent="0.25">
      <c r="B27" s="1">
        <v>45874</v>
      </c>
      <c r="C27" s="2">
        <v>107.22</v>
      </c>
      <c r="D27" s="2">
        <v>107.82</v>
      </c>
      <c r="E27" s="2">
        <v>106.07</v>
      </c>
      <c r="F27" s="2">
        <v>107.24</v>
      </c>
      <c r="G27" s="2">
        <v>106.25</v>
      </c>
      <c r="H27" s="3">
        <v>21314300</v>
      </c>
    </row>
    <row r="28" spans="2:8" x14ac:dyDescent="0.25">
      <c r="B28" s="1">
        <v>45873</v>
      </c>
      <c r="C28" s="2">
        <v>109.22</v>
      </c>
      <c r="D28" s="2">
        <v>109.92</v>
      </c>
      <c r="E28" s="2">
        <v>107.09</v>
      </c>
      <c r="F28" s="2">
        <v>107.37</v>
      </c>
      <c r="G28" s="2">
        <v>106.38</v>
      </c>
      <c r="H28" s="3">
        <v>19129500</v>
      </c>
    </row>
    <row r="29" spans="2:8" x14ac:dyDescent="0.25">
      <c r="B29" s="1">
        <v>45870</v>
      </c>
      <c r="C29" s="2">
        <v>112</v>
      </c>
      <c r="D29" s="2">
        <v>112.54</v>
      </c>
      <c r="E29" s="2">
        <v>108.86</v>
      </c>
      <c r="F29" s="2">
        <v>109.64</v>
      </c>
      <c r="G29" s="2">
        <v>108.63</v>
      </c>
      <c r="H29" s="3">
        <v>19652000</v>
      </c>
    </row>
    <row r="30" spans="2:8" x14ac:dyDescent="0.25">
      <c r="B30" s="1">
        <v>45869</v>
      </c>
      <c r="C30" s="2">
        <v>110.36</v>
      </c>
      <c r="D30" s="2">
        <v>112.5</v>
      </c>
      <c r="E30" s="2">
        <v>110.36</v>
      </c>
      <c r="F30" s="2">
        <v>111.64</v>
      </c>
      <c r="G30" s="2">
        <v>110.61</v>
      </c>
      <c r="H30" s="3">
        <v>17233700</v>
      </c>
    </row>
    <row r="31" spans="2:8" x14ac:dyDescent="0.25">
      <c r="B31" s="1">
        <v>45868</v>
      </c>
      <c r="C31" s="2">
        <v>112.41</v>
      </c>
      <c r="D31" s="2">
        <v>112.61</v>
      </c>
      <c r="E31" s="2">
        <v>111.26</v>
      </c>
      <c r="F31" s="2">
        <v>111.9</v>
      </c>
      <c r="G31" s="2">
        <v>110.87</v>
      </c>
      <c r="H31" s="3">
        <v>12996900</v>
      </c>
    </row>
    <row r="32" spans="2:8" x14ac:dyDescent="0.25">
      <c r="B32" s="1">
        <v>45867</v>
      </c>
      <c r="C32" s="2">
        <v>111.9</v>
      </c>
      <c r="D32" s="2">
        <v>113</v>
      </c>
      <c r="E32" s="2">
        <v>111.41</v>
      </c>
      <c r="F32" s="2">
        <v>112.88</v>
      </c>
      <c r="G32" s="2">
        <v>111.84</v>
      </c>
      <c r="H32" s="3">
        <v>15928000</v>
      </c>
    </row>
    <row r="33" spans="2:8" x14ac:dyDescent="0.25">
      <c r="B33" s="1">
        <v>45866</v>
      </c>
      <c r="C33" s="2">
        <v>111</v>
      </c>
      <c r="D33" s="2">
        <v>112.11</v>
      </c>
      <c r="E33" s="2">
        <v>110.84</v>
      </c>
      <c r="F33" s="2">
        <v>111.44</v>
      </c>
      <c r="G33" s="2">
        <v>110.41</v>
      </c>
      <c r="H33" s="3">
        <v>12353000</v>
      </c>
    </row>
    <row r="34" spans="2:8" x14ac:dyDescent="0.25">
      <c r="B34" s="1">
        <v>45863</v>
      </c>
      <c r="C34" s="2">
        <v>110.73</v>
      </c>
      <c r="D34" s="2">
        <v>110.98</v>
      </c>
      <c r="E34" s="2">
        <v>109.7</v>
      </c>
      <c r="F34" s="2">
        <v>110.4</v>
      </c>
      <c r="G34" s="2">
        <v>109.38</v>
      </c>
      <c r="H34" s="3">
        <v>10548900</v>
      </c>
    </row>
    <row r="35" spans="2:8" x14ac:dyDescent="0.25">
      <c r="B35" s="1">
        <v>45862</v>
      </c>
      <c r="C35" s="2">
        <v>109.66</v>
      </c>
      <c r="D35" s="2">
        <v>110.95</v>
      </c>
      <c r="E35" s="2">
        <v>109.13</v>
      </c>
      <c r="F35" s="2">
        <v>110.79</v>
      </c>
      <c r="G35" s="2">
        <v>109.77</v>
      </c>
      <c r="H35" s="3">
        <v>15647200</v>
      </c>
    </row>
    <row r="36" spans="2:8" x14ac:dyDescent="0.25">
      <c r="B36" s="1">
        <v>45861</v>
      </c>
      <c r="C36" s="2">
        <v>108.93</v>
      </c>
      <c r="D36" s="2">
        <v>110</v>
      </c>
      <c r="E36" s="2">
        <v>108.85</v>
      </c>
      <c r="F36" s="2">
        <v>109.93</v>
      </c>
      <c r="G36" s="2">
        <v>108.92</v>
      </c>
      <c r="H36" s="3">
        <v>12002700</v>
      </c>
    </row>
    <row r="37" spans="2:8" x14ac:dyDescent="0.25">
      <c r="B37" s="1">
        <v>45860</v>
      </c>
      <c r="C37" s="2">
        <v>107.98</v>
      </c>
      <c r="D37" s="2">
        <v>109.44</v>
      </c>
      <c r="E37" s="2">
        <v>107.61</v>
      </c>
      <c r="F37" s="2">
        <v>108.54</v>
      </c>
      <c r="G37" s="2">
        <v>107.54</v>
      </c>
      <c r="H37" s="3">
        <v>13970900</v>
      </c>
    </row>
    <row r="38" spans="2:8" x14ac:dyDescent="0.25">
      <c r="B38" s="1">
        <v>45859</v>
      </c>
      <c r="C38" s="2">
        <v>107.6</v>
      </c>
      <c r="D38" s="2">
        <v>108.77</v>
      </c>
      <c r="E38" s="2">
        <v>107.44</v>
      </c>
      <c r="F38" s="2">
        <v>108.05</v>
      </c>
      <c r="G38" s="2">
        <v>107.05</v>
      </c>
      <c r="H38" s="3">
        <v>17010400</v>
      </c>
    </row>
    <row r="39" spans="2:8" x14ac:dyDescent="0.25">
      <c r="B39" s="1">
        <v>45856</v>
      </c>
      <c r="C39" s="2">
        <v>111.11</v>
      </c>
      <c r="D39" s="2">
        <v>111.73</v>
      </c>
      <c r="E39" s="2">
        <v>107.34</v>
      </c>
      <c r="F39" s="2">
        <v>107.77</v>
      </c>
      <c r="G39" s="2">
        <v>106.78</v>
      </c>
      <c r="H39" s="3">
        <v>32366600</v>
      </c>
    </row>
    <row r="40" spans="2:8" x14ac:dyDescent="0.25">
      <c r="B40" s="1">
        <v>45855</v>
      </c>
      <c r="C40" s="2">
        <v>111.49</v>
      </c>
      <c r="D40" s="2">
        <v>112.23</v>
      </c>
      <c r="E40" s="2">
        <v>111.09</v>
      </c>
      <c r="F40" s="2">
        <v>111.66</v>
      </c>
      <c r="G40" s="2">
        <v>110.63</v>
      </c>
      <c r="H40" s="3">
        <v>13151400</v>
      </c>
    </row>
    <row r="41" spans="2:8" x14ac:dyDescent="0.25">
      <c r="B41" s="1">
        <v>45854</v>
      </c>
      <c r="C41" s="2">
        <v>112.88</v>
      </c>
      <c r="D41" s="2">
        <v>113.5</v>
      </c>
      <c r="E41" s="2">
        <v>112.1</v>
      </c>
      <c r="F41" s="2">
        <v>112.23</v>
      </c>
      <c r="G41" s="2">
        <v>111.2</v>
      </c>
      <c r="H41" s="3">
        <v>11158900</v>
      </c>
    </row>
    <row r="42" spans="2:8" x14ac:dyDescent="0.25">
      <c r="B42" s="1">
        <v>45853</v>
      </c>
      <c r="C42" s="2">
        <v>113.66</v>
      </c>
      <c r="D42" s="2">
        <v>114.06</v>
      </c>
      <c r="E42" s="2">
        <v>112.6</v>
      </c>
      <c r="F42" s="2">
        <v>112.91</v>
      </c>
      <c r="G42" s="2">
        <v>111.87</v>
      </c>
      <c r="H42" s="3">
        <v>10959300</v>
      </c>
    </row>
    <row r="43" spans="2:8" x14ac:dyDescent="0.25">
      <c r="B43" s="1">
        <v>45852</v>
      </c>
      <c r="C43" s="2">
        <v>115.23</v>
      </c>
      <c r="D43" s="2">
        <v>115.23</v>
      </c>
      <c r="E43" s="2">
        <v>113.22</v>
      </c>
      <c r="F43" s="2">
        <v>113.92</v>
      </c>
      <c r="G43" s="2">
        <v>112.87</v>
      </c>
      <c r="H43" s="3">
        <v>13220300</v>
      </c>
    </row>
    <row r="44" spans="2:8" x14ac:dyDescent="0.25">
      <c r="B44" s="1">
        <v>45849</v>
      </c>
      <c r="C44" s="2">
        <v>114.85</v>
      </c>
      <c r="D44" s="2">
        <v>115.76</v>
      </c>
      <c r="E44" s="2">
        <v>114.51</v>
      </c>
      <c r="F44" s="2">
        <v>115.43</v>
      </c>
      <c r="G44" s="2">
        <v>114.37</v>
      </c>
      <c r="H44" s="3">
        <v>11683900</v>
      </c>
    </row>
    <row r="45" spans="2:8" x14ac:dyDescent="0.25">
      <c r="B45" s="1">
        <v>45848</v>
      </c>
      <c r="C45" s="2">
        <v>113.71</v>
      </c>
      <c r="D45" s="2">
        <v>115.27</v>
      </c>
      <c r="E45" s="2">
        <v>113.07</v>
      </c>
      <c r="F45" s="2">
        <v>114.93</v>
      </c>
      <c r="G45" s="2">
        <v>113.87</v>
      </c>
      <c r="H45" s="3">
        <v>14901700</v>
      </c>
    </row>
    <row r="46" spans="2:8" x14ac:dyDescent="0.25">
      <c r="B46" s="1">
        <v>45847</v>
      </c>
      <c r="C46" s="2">
        <v>113.92</v>
      </c>
      <c r="D46" s="2">
        <v>114.27</v>
      </c>
      <c r="E46" s="2">
        <v>113.27</v>
      </c>
      <c r="F46" s="2">
        <v>113.8</v>
      </c>
      <c r="G46" s="2">
        <v>112.75</v>
      </c>
      <c r="H46" s="3">
        <v>10652100</v>
      </c>
    </row>
    <row r="47" spans="2:8" x14ac:dyDescent="0.25">
      <c r="B47" s="1">
        <v>45846</v>
      </c>
      <c r="C47" s="2">
        <v>110.89</v>
      </c>
      <c r="D47" s="2">
        <v>114.46</v>
      </c>
      <c r="E47" s="2">
        <v>110.85</v>
      </c>
      <c r="F47" s="2">
        <v>114.19</v>
      </c>
      <c r="G47" s="2">
        <v>113.14</v>
      </c>
      <c r="H47" s="3">
        <v>17913400</v>
      </c>
    </row>
    <row r="48" spans="2:8" x14ac:dyDescent="0.25">
      <c r="B48" s="1">
        <v>45845</v>
      </c>
      <c r="C48" s="2">
        <v>111.54</v>
      </c>
      <c r="D48" s="2">
        <v>112.05</v>
      </c>
      <c r="E48" s="2">
        <v>110.22</v>
      </c>
      <c r="F48" s="2">
        <v>111.11</v>
      </c>
      <c r="G48" s="2">
        <v>110.09</v>
      </c>
      <c r="H48" s="3">
        <v>15415900</v>
      </c>
    </row>
    <row r="49" spans="2:8" x14ac:dyDescent="0.25">
      <c r="B49" s="1">
        <v>45841</v>
      </c>
      <c r="C49" s="2">
        <v>110.86</v>
      </c>
      <c r="D49" s="2">
        <v>112.47</v>
      </c>
      <c r="E49" s="2">
        <v>110.62</v>
      </c>
      <c r="F49" s="2">
        <v>112.2</v>
      </c>
      <c r="G49" s="2">
        <v>111.17</v>
      </c>
      <c r="H49" s="3">
        <v>11223600</v>
      </c>
    </row>
    <row r="50" spans="2:8" x14ac:dyDescent="0.25">
      <c r="B50" s="1">
        <v>45840</v>
      </c>
      <c r="C50" s="2">
        <v>110</v>
      </c>
      <c r="D50" s="2">
        <v>111.36</v>
      </c>
      <c r="E50" s="2">
        <v>108.83</v>
      </c>
      <c r="F50" s="2">
        <v>111.05</v>
      </c>
      <c r="G50" s="2">
        <v>110.03</v>
      </c>
      <c r="H50" s="3">
        <v>11892200</v>
      </c>
    </row>
    <row r="51" spans="2:8" x14ac:dyDescent="0.25">
      <c r="B51" s="1">
        <v>45839</v>
      </c>
      <c r="C51" s="2">
        <v>108.13</v>
      </c>
      <c r="D51" s="2">
        <v>109.64</v>
      </c>
      <c r="E51" s="2">
        <v>107.15</v>
      </c>
      <c r="F51" s="2">
        <v>109.24</v>
      </c>
      <c r="G51" s="2">
        <v>108.23</v>
      </c>
      <c r="H51" s="3">
        <v>15536900</v>
      </c>
    </row>
    <row r="52" spans="2:8" x14ac:dyDescent="0.25">
      <c r="B52" s="1">
        <v>45838</v>
      </c>
      <c r="C52" s="2">
        <v>108.64</v>
      </c>
      <c r="D52" s="2">
        <v>108.84</v>
      </c>
      <c r="E52" s="2">
        <v>107.72</v>
      </c>
      <c r="F52" s="2">
        <v>107.8</v>
      </c>
      <c r="G52" s="2">
        <v>106.81</v>
      </c>
      <c r="H52" s="3">
        <v>19199000</v>
      </c>
    </row>
    <row r="53" spans="2:8" x14ac:dyDescent="0.25">
      <c r="B53" s="1">
        <v>45835</v>
      </c>
      <c r="C53" s="2">
        <v>109.94</v>
      </c>
      <c r="D53" s="2">
        <v>110.1</v>
      </c>
      <c r="E53" s="2">
        <v>108.37</v>
      </c>
      <c r="F53" s="2">
        <v>109.38</v>
      </c>
      <c r="G53" s="2">
        <v>108.37</v>
      </c>
      <c r="H53" s="3">
        <v>22002100</v>
      </c>
    </row>
    <row r="54" spans="2:8" x14ac:dyDescent="0.25">
      <c r="B54" s="1">
        <v>45834</v>
      </c>
      <c r="C54" s="2">
        <v>108.94</v>
      </c>
      <c r="D54" s="2">
        <v>110.44</v>
      </c>
      <c r="E54" s="2">
        <v>108.55</v>
      </c>
      <c r="F54" s="2">
        <v>109.99</v>
      </c>
      <c r="G54" s="2">
        <v>108.98</v>
      </c>
      <c r="H54" s="3">
        <v>18304800</v>
      </c>
    </row>
    <row r="55" spans="2:8" x14ac:dyDescent="0.25">
      <c r="B55" s="1">
        <v>45833</v>
      </c>
      <c r="C55" s="2">
        <v>108.11</v>
      </c>
      <c r="D55" s="2">
        <v>109.24</v>
      </c>
      <c r="E55" s="2">
        <v>107.7</v>
      </c>
      <c r="F55" s="2">
        <v>108.37</v>
      </c>
      <c r="G55" s="2">
        <v>107.37</v>
      </c>
      <c r="H55" s="3">
        <v>17483200</v>
      </c>
    </row>
    <row r="56" spans="2:8" x14ac:dyDescent="0.25">
      <c r="B56" s="1">
        <v>45832</v>
      </c>
      <c r="C56" s="2">
        <v>109.25</v>
      </c>
      <c r="D56" s="2">
        <v>110.94</v>
      </c>
      <c r="E56" s="2">
        <v>107.91</v>
      </c>
      <c r="F56" s="2">
        <v>108.34</v>
      </c>
      <c r="G56" s="2">
        <v>107.34</v>
      </c>
      <c r="H56" s="3">
        <v>24828300</v>
      </c>
    </row>
    <row r="57" spans="2:8" x14ac:dyDescent="0.25">
      <c r="B57" s="1">
        <v>45831</v>
      </c>
      <c r="C57" s="2">
        <v>116.7</v>
      </c>
      <c r="D57" s="2">
        <v>116.95</v>
      </c>
      <c r="E57" s="2">
        <v>111.16</v>
      </c>
      <c r="F57" s="2">
        <v>111.74</v>
      </c>
      <c r="G57" s="2">
        <v>110.71</v>
      </c>
      <c r="H57" s="3">
        <v>26631100</v>
      </c>
    </row>
    <row r="58" spans="2:8" x14ac:dyDescent="0.25">
      <c r="B58" s="1">
        <v>45828</v>
      </c>
      <c r="C58" s="2">
        <v>113.45</v>
      </c>
      <c r="D58" s="2">
        <v>115.04</v>
      </c>
      <c r="E58" s="2">
        <v>113.18</v>
      </c>
      <c r="F58" s="2">
        <v>114.7</v>
      </c>
      <c r="G58" s="2">
        <v>113.64</v>
      </c>
      <c r="H58" s="3">
        <v>36273300</v>
      </c>
    </row>
    <row r="59" spans="2:8" x14ac:dyDescent="0.25">
      <c r="B59" s="1">
        <v>45826</v>
      </c>
      <c r="C59" s="2">
        <v>114.61</v>
      </c>
      <c r="D59" s="2">
        <v>115.24</v>
      </c>
      <c r="E59" s="2">
        <v>112.94</v>
      </c>
      <c r="F59" s="2">
        <v>113.19</v>
      </c>
      <c r="G59" s="2">
        <v>112.15</v>
      </c>
      <c r="H59" s="3">
        <v>17968900</v>
      </c>
    </row>
    <row r="60" spans="2:8" x14ac:dyDescent="0.25">
      <c r="B60" s="1">
        <v>45825</v>
      </c>
      <c r="C60" s="2">
        <v>113.95</v>
      </c>
      <c r="D60" s="2">
        <v>114.93</v>
      </c>
      <c r="E60" s="2">
        <v>113.11</v>
      </c>
      <c r="F60" s="2">
        <v>114</v>
      </c>
      <c r="G60" s="2">
        <v>112.95</v>
      </c>
      <c r="H60" s="3">
        <v>19451700</v>
      </c>
    </row>
    <row r="61" spans="2:8" x14ac:dyDescent="0.25">
      <c r="B61" s="1">
        <v>45824</v>
      </c>
      <c r="C61" s="2">
        <v>111.82</v>
      </c>
      <c r="D61" s="2">
        <v>113.16</v>
      </c>
      <c r="E61" s="2">
        <v>111.13</v>
      </c>
      <c r="F61" s="2">
        <v>112.48</v>
      </c>
      <c r="G61" s="2">
        <v>111.44</v>
      </c>
      <c r="H61" s="3">
        <v>22986100</v>
      </c>
    </row>
    <row r="62" spans="2:8" x14ac:dyDescent="0.25">
      <c r="B62" s="1">
        <v>45821</v>
      </c>
      <c r="C62" s="2">
        <v>112.35</v>
      </c>
      <c r="D62" s="2">
        <v>112.53</v>
      </c>
      <c r="E62" s="2">
        <v>110.68</v>
      </c>
      <c r="F62" s="2">
        <v>112.12</v>
      </c>
      <c r="G62" s="2">
        <v>111.09</v>
      </c>
      <c r="H62" s="3">
        <v>28540200</v>
      </c>
    </row>
    <row r="63" spans="2:8" x14ac:dyDescent="0.25">
      <c r="B63" s="1">
        <v>45820</v>
      </c>
      <c r="C63" s="2">
        <v>108.92</v>
      </c>
      <c r="D63" s="2">
        <v>110.19</v>
      </c>
      <c r="E63" s="2">
        <v>108.22</v>
      </c>
      <c r="F63" s="2">
        <v>109.73</v>
      </c>
      <c r="G63" s="2">
        <v>108.72</v>
      </c>
      <c r="H63" s="3">
        <v>17469400</v>
      </c>
    </row>
    <row r="64" spans="2:8" x14ac:dyDescent="0.25">
      <c r="B64" s="1">
        <v>45819</v>
      </c>
      <c r="C64" s="2">
        <v>107.76</v>
      </c>
      <c r="D64" s="2">
        <v>109.39</v>
      </c>
      <c r="E64" s="2">
        <v>106.46</v>
      </c>
      <c r="F64" s="2">
        <v>109.31</v>
      </c>
      <c r="G64" s="2">
        <v>108.3</v>
      </c>
      <c r="H64" s="3">
        <v>22648200</v>
      </c>
    </row>
    <row r="65" spans="2:8" x14ac:dyDescent="0.25">
      <c r="B65" s="1">
        <v>45818</v>
      </c>
      <c r="C65" s="2">
        <v>106.08</v>
      </c>
      <c r="D65" s="2">
        <v>107.65</v>
      </c>
      <c r="E65" s="2">
        <v>105.93</v>
      </c>
      <c r="F65" s="2">
        <v>107.22</v>
      </c>
      <c r="G65" s="2">
        <v>106.23</v>
      </c>
      <c r="H65" s="3">
        <v>17634800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F396-001B-47F0-8448-97223F967B39}">
  <sheetPr codeName="Sheet4"/>
  <dimension ref="A1:G65"/>
  <sheetViews>
    <sheetView topLeftCell="A9" workbookViewId="0">
      <selection activeCell="F2" sqref="F2:F65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7" width="10.5703125" bestFit="1" customWidth="1"/>
  </cols>
  <sheetData>
    <row r="1" spans="1:7" x14ac:dyDescent="0.25">
      <c r="A1" t="s">
        <v>66</v>
      </c>
      <c r="B1" t="s">
        <v>67</v>
      </c>
      <c r="C1" t="s">
        <v>68</v>
      </c>
      <c r="D1" t="s">
        <v>69</v>
      </c>
      <c r="E1" t="s">
        <v>71</v>
      </c>
      <c r="F1" t="s">
        <v>72</v>
      </c>
      <c r="G1" t="s">
        <v>70</v>
      </c>
    </row>
    <row r="2" spans="1:7" x14ac:dyDescent="0.25">
      <c r="A2" s="4">
        <v>45910</v>
      </c>
      <c r="B2" s="5" t="s">
        <v>0</v>
      </c>
      <c r="C2">
        <v>157.91999999999999</v>
      </c>
      <c r="D2">
        <v>155</v>
      </c>
      <c r="E2">
        <v>157.79</v>
      </c>
      <c r="F2">
        <v>157.79</v>
      </c>
      <c r="G2">
        <v>6162469</v>
      </c>
    </row>
    <row r="3" spans="1:7" x14ac:dyDescent="0.25">
      <c r="A3" s="4">
        <v>45909</v>
      </c>
      <c r="B3" s="5" t="s">
        <v>1</v>
      </c>
      <c r="C3">
        <v>156.99</v>
      </c>
      <c r="D3">
        <v>154.6</v>
      </c>
      <c r="E3">
        <v>154.85</v>
      </c>
      <c r="F3">
        <v>154.85</v>
      </c>
      <c r="G3">
        <v>7769200</v>
      </c>
    </row>
    <row r="4" spans="1:7" x14ac:dyDescent="0.25">
      <c r="A4" s="4">
        <v>45908</v>
      </c>
      <c r="B4" s="5" t="s">
        <v>2</v>
      </c>
      <c r="C4">
        <v>155.03</v>
      </c>
      <c r="D4">
        <v>152.88</v>
      </c>
      <c r="E4">
        <v>154</v>
      </c>
      <c r="F4">
        <v>154</v>
      </c>
      <c r="G4">
        <v>9462000</v>
      </c>
    </row>
    <row r="5" spans="1:7" x14ac:dyDescent="0.25">
      <c r="A5" s="4">
        <v>45905</v>
      </c>
      <c r="B5" s="5" t="s">
        <v>3</v>
      </c>
      <c r="C5">
        <v>156.72</v>
      </c>
      <c r="D5">
        <v>153.49</v>
      </c>
      <c r="E5">
        <v>153.66</v>
      </c>
      <c r="F5">
        <v>153.66</v>
      </c>
      <c r="G5">
        <v>11011700</v>
      </c>
    </row>
    <row r="6" spans="1:7" x14ac:dyDescent="0.25">
      <c r="A6" s="4">
        <v>45904</v>
      </c>
      <c r="B6" s="5" t="s">
        <v>4</v>
      </c>
      <c r="C6">
        <v>159.65</v>
      </c>
      <c r="D6">
        <v>157.5</v>
      </c>
      <c r="E6">
        <v>157.69</v>
      </c>
      <c r="F6">
        <v>157.69</v>
      </c>
      <c r="G6">
        <v>7243000</v>
      </c>
    </row>
    <row r="7" spans="1:7" x14ac:dyDescent="0.25">
      <c r="A7" s="4">
        <v>45903</v>
      </c>
      <c r="B7" s="5" t="s">
        <v>5</v>
      </c>
      <c r="C7">
        <v>161.85</v>
      </c>
      <c r="D7">
        <v>157.02000000000001</v>
      </c>
      <c r="E7">
        <v>158.06</v>
      </c>
      <c r="F7">
        <v>158.06</v>
      </c>
      <c r="G7">
        <v>9556100</v>
      </c>
    </row>
    <row r="8" spans="1:7" x14ac:dyDescent="0.25">
      <c r="A8" s="4">
        <v>45902</v>
      </c>
      <c r="B8" s="5" t="s">
        <v>6</v>
      </c>
      <c r="C8">
        <v>161.86000000000001</v>
      </c>
      <c r="D8">
        <v>159.38</v>
      </c>
      <c r="E8">
        <v>161.83000000000001</v>
      </c>
      <c r="F8">
        <v>161.83000000000001</v>
      </c>
      <c r="G8">
        <v>8947300</v>
      </c>
    </row>
    <row r="9" spans="1:7" x14ac:dyDescent="0.25">
      <c r="A9" s="4">
        <v>45898</v>
      </c>
      <c r="B9" s="5" t="s">
        <v>7</v>
      </c>
      <c r="C9">
        <v>161.1</v>
      </c>
      <c r="D9">
        <v>159.44999999999999</v>
      </c>
      <c r="E9">
        <v>160.6</v>
      </c>
      <c r="F9">
        <v>160.6</v>
      </c>
      <c r="G9">
        <v>6934800</v>
      </c>
    </row>
    <row r="10" spans="1:7" x14ac:dyDescent="0.25">
      <c r="A10" s="4">
        <v>45897</v>
      </c>
      <c r="B10" s="5" t="s">
        <v>8</v>
      </c>
      <c r="C10">
        <v>159.52000000000001</v>
      </c>
      <c r="D10">
        <v>157.85</v>
      </c>
      <c r="E10">
        <v>159.32</v>
      </c>
      <c r="F10">
        <v>159.32</v>
      </c>
      <c r="G10">
        <v>6502000</v>
      </c>
    </row>
    <row r="11" spans="1:7" x14ac:dyDescent="0.25">
      <c r="A11" s="4">
        <v>45896</v>
      </c>
      <c r="B11" s="5" t="s">
        <v>9</v>
      </c>
      <c r="C11">
        <v>159.99</v>
      </c>
      <c r="D11">
        <v>157.21</v>
      </c>
      <c r="E11">
        <v>159.24</v>
      </c>
      <c r="F11">
        <v>159.24</v>
      </c>
      <c r="G11">
        <v>7483000</v>
      </c>
    </row>
    <row r="12" spans="1:7" x14ac:dyDescent="0.25">
      <c r="A12" s="4">
        <v>45895</v>
      </c>
      <c r="B12" s="5" t="s">
        <v>10</v>
      </c>
      <c r="C12">
        <v>160</v>
      </c>
      <c r="D12">
        <v>156.55000000000001</v>
      </c>
      <c r="E12">
        <v>157.36000000000001</v>
      </c>
      <c r="F12">
        <v>157.36000000000001</v>
      </c>
      <c r="G12">
        <v>10270000</v>
      </c>
    </row>
    <row r="13" spans="1:7" x14ac:dyDescent="0.25">
      <c r="A13" s="4">
        <v>45894</v>
      </c>
      <c r="B13" s="5" t="s">
        <v>11</v>
      </c>
      <c r="C13">
        <v>158.32</v>
      </c>
      <c r="D13">
        <v>157.16999999999999</v>
      </c>
      <c r="E13">
        <v>158.19999999999999</v>
      </c>
      <c r="F13">
        <v>158.19999999999999</v>
      </c>
      <c r="G13">
        <v>7030000</v>
      </c>
    </row>
    <row r="14" spans="1:7" x14ac:dyDescent="0.25">
      <c r="A14" s="4">
        <v>45891</v>
      </c>
      <c r="B14" s="5" t="s">
        <v>12</v>
      </c>
      <c r="C14">
        <v>158.79</v>
      </c>
      <c r="D14">
        <v>155.32</v>
      </c>
      <c r="E14">
        <v>158.18</v>
      </c>
      <c r="F14">
        <v>158.18</v>
      </c>
      <c r="G14">
        <v>9084300</v>
      </c>
    </row>
    <row r="15" spans="1:7" x14ac:dyDescent="0.25">
      <c r="A15" s="4">
        <v>45890</v>
      </c>
      <c r="B15" s="5" t="s">
        <v>13</v>
      </c>
      <c r="C15">
        <v>155.66999999999999</v>
      </c>
      <c r="D15">
        <v>152.72999999999999</v>
      </c>
      <c r="E15">
        <v>155.55000000000001</v>
      </c>
      <c r="F15">
        <v>155.55000000000001</v>
      </c>
      <c r="G15">
        <v>7533600</v>
      </c>
    </row>
    <row r="16" spans="1:7" x14ac:dyDescent="0.25">
      <c r="A16" s="4">
        <v>45889</v>
      </c>
      <c r="B16" s="5" t="s">
        <v>14</v>
      </c>
      <c r="C16">
        <v>153.49</v>
      </c>
      <c r="D16">
        <v>151.93</v>
      </c>
      <c r="E16">
        <v>153.22</v>
      </c>
      <c r="F16">
        <v>153.22</v>
      </c>
      <c r="G16">
        <v>8076300</v>
      </c>
    </row>
    <row r="17" spans="1:7" x14ac:dyDescent="0.25">
      <c r="A17" s="4">
        <v>45888</v>
      </c>
      <c r="B17" s="5" t="s">
        <v>15</v>
      </c>
      <c r="C17">
        <v>153.94</v>
      </c>
      <c r="D17">
        <v>151.85</v>
      </c>
      <c r="E17">
        <v>152</v>
      </c>
      <c r="F17">
        <v>152</v>
      </c>
      <c r="G17">
        <v>8567500</v>
      </c>
    </row>
    <row r="18" spans="1:7" x14ac:dyDescent="0.25">
      <c r="A18" s="4">
        <v>45887</v>
      </c>
      <c r="B18" s="5" t="s">
        <v>16</v>
      </c>
      <c r="C18">
        <v>156.49</v>
      </c>
      <c r="D18">
        <v>154.75</v>
      </c>
      <c r="E18">
        <v>155.32</v>
      </c>
      <c r="F18">
        <v>153.61000000000001</v>
      </c>
      <c r="G18">
        <v>8174300</v>
      </c>
    </row>
    <row r="19" spans="1:7" x14ac:dyDescent="0.25">
      <c r="A19" s="4">
        <v>45884</v>
      </c>
      <c r="B19" s="5" t="s">
        <v>17</v>
      </c>
      <c r="C19">
        <v>158.54</v>
      </c>
      <c r="D19">
        <v>155.29</v>
      </c>
      <c r="E19">
        <v>156.55000000000001</v>
      </c>
      <c r="F19">
        <v>154.83000000000001</v>
      </c>
      <c r="G19">
        <v>11617000</v>
      </c>
    </row>
    <row r="20" spans="1:7" x14ac:dyDescent="0.25">
      <c r="A20" s="4">
        <v>45883</v>
      </c>
      <c r="B20" s="5" t="s">
        <v>18</v>
      </c>
      <c r="C20">
        <v>155.69999999999999</v>
      </c>
      <c r="D20">
        <v>154.1</v>
      </c>
      <c r="E20">
        <v>155.16</v>
      </c>
      <c r="F20">
        <v>153.44999999999999</v>
      </c>
      <c r="G20">
        <v>7337300</v>
      </c>
    </row>
    <row r="21" spans="1:7" x14ac:dyDescent="0.25">
      <c r="A21" s="4">
        <v>45882</v>
      </c>
      <c r="B21" s="5" t="s">
        <v>19</v>
      </c>
      <c r="C21">
        <v>156.01</v>
      </c>
      <c r="D21">
        <v>154.19999999999999</v>
      </c>
      <c r="E21">
        <v>155.87</v>
      </c>
      <c r="F21">
        <v>154.15</v>
      </c>
      <c r="G21">
        <v>6581900</v>
      </c>
    </row>
    <row r="22" spans="1:7" x14ac:dyDescent="0.25">
      <c r="A22" s="4">
        <v>45881</v>
      </c>
      <c r="B22" s="5" t="s">
        <v>20</v>
      </c>
      <c r="C22">
        <v>156.05000000000001</v>
      </c>
      <c r="D22">
        <v>153.36000000000001</v>
      </c>
      <c r="E22">
        <v>154.44</v>
      </c>
      <c r="F22">
        <v>152.74</v>
      </c>
      <c r="G22">
        <v>6641600</v>
      </c>
    </row>
    <row r="23" spans="1:7" x14ac:dyDescent="0.25">
      <c r="A23" s="4">
        <v>45880</v>
      </c>
      <c r="B23" s="5" t="s">
        <v>21</v>
      </c>
      <c r="C23">
        <v>155.93</v>
      </c>
      <c r="D23">
        <v>152.99</v>
      </c>
      <c r="E23">
        <v>153.44999999999999</v>
      </c>
      <c r="F23">
        <v>151.76</v>
      </c>
      <c r="G23">
        <v>6169700</v>
      </c>
    </row>
    <row r="24" spans="1:7" x14ac:dyDescent="0.25">
      <c r="A24" s="4">
        <v>45877</v>
      </c>
      <c r="B24" s="5" t="s">
        <v>22</v>
      </c>
      <c r="C24">
        <v>155.75</v>
      </c>
      <c r="D24">
        <v>153.5</v>
      </c>
      <c r="E24">
        <v>155.01</v>
      </c>
      <c r="F24">
        <v>153.30000000000001</v>
      </c>
      <c r="G24">
        <v>6332800</v>
      </c>
    </row>
    <row r="25" spans="1:7" x14ac:dyDescent="0.25">
      <c r="A25" s="4">
        <v>45876</v>
      </c>
      <c r="B25" s="5" t="s">
        <v>23</v>
      </c>
      <c r="C25">
        <v>155.15</v>
      </c>
      <c r="D25">
        <v>152.83000000000001</v>
      </c>
      <c r="E25">
        <v>153.16</v>
      </c>
      <c r="F25">
        <v>151.47</v>
      </c>
      <c r="G25">
        <v>6510400</v>
      </c>
    </row>
    <row r="26" spans="1:7" x14ac:dyDescent="0.25">
      <c r="A26" s="4">
        <v>45875</v>
      </c>
      <c r="B26" s="5" t="s">
        <v>24</v>
      </c>
      <c r="C26">
        <v>155.16</v>
      </c>
      <c r="D26">
        <v>152.22</v>
      </c>
      <c r="E26">
        <v>152.78</v>
      </c>
      <c r="F26">
        <v>151.1</v>
      </c>
      <c r="G26">
        <v>7840900</v>
      </c>
    </row>
    <row r="27" spans="1:7" x14ac:dyDescent="0.25">
      <c r="A27" s="4">
        <v>45874</v>
      </c>
      <c r="B27" s="5" t="s">
        <v>25</v>
      </c>
      <c r="C27">
        <v>153.1</v>
      </c>
      <c r="D27">
        <v>149.9</v>
      </c>
      <c r="E27">
        <v>153.04</v>
      </c>
      <c r="F27">
        <v>151.36000000000001</v>
      </c>
      <c r="G27">
        <v>8604100</v>
      </c>
    </row>
    <row r="28" spans="1:7" x14ac:dyDescent="0.25">
      <c r="A28" s="4">
        <v>45873</v>
      </c>
      <c r="B28" s="5" t="s">
        <v>26</v>
      </c>
      <c r="C28">
        <v>152.08000000000001</v>
      </c>
      <c r="D28">
        <v>149.82</v>
      </c>
      <c r="E28">
        <v>151.04</v>
      </c>
      <c r="F28">
        <v>149.38</v>
      </c>
      <c r="G28">
        <v>10116600</v>
      </c>
    </row>
    <row r="29" spans="1:7" x14ac:dyDescent="0.25">
      <c r="A29" s="4">
        <v>45870</v>
      </c>
      <c r="B29" s="5" t="s">
        <v>27</v>
      </c>
      <c r="C29">
        <v>154.65</v>
      </c>
      <c r="D29">
        <v>150.35</v>
      </c>
      <c r="E29">
        <v>151.4</v>
      </c>
      <c r="F29">
        <v>149.72999999999999</v>
      </c>
      <c r="G29">
        <v>10706500</v>
      </c>
    </row>
    <row r="30" spans="1:7" x14ac:dyDescent="0.25">
      <c r="A30" s="4">
        <v>45869</v>
      </c>
      <c r="B30" s="5" t="s">
        <v>28</v>
      </c>
      <c r="C30">
        <v>153.93</v>
      </c>
      <c r="D30">
        <v>151.13999999999999</v>
      </c>
      <c r="E30">
        <v>151.63999999999999</v>
      </c>
      <c r="F30">
        <v>149.97</v>
      </c>
      <c r="G30">
        <v>10237100</v>
      </c>
    </row>
    <row r="31" spans="1:7" x14ac:dyDescent="0.25">
      <c r="A31" s="4">
        <v>45868</v>
      </c>
      <c r="B31" s="5" t="s">
        <v>29</v>
      </c>
      <c r="C31">
        <v>156.31</v>
      </c>
      <c r="D31">
        <v>152.69999999999999</v>
      </c>
      <c r="E31">
        <v>153.56</v>
      </c>
      <c r="F31">
        <v>151.87</v>
      </c>
      <c r="G31">
        <v>9191700</v>
      </c>
    </row>
    <row r="32" spans="1:7" x14ac:dyDescent="0.25">
      <c r="A32" s="4">
        <v>45867</v>
      </c>
      <c r="B32" s="5" t="s">
        <v>30</v>
      </c>
      <c r="C32">
        <v>157.21</v>
      </c>
      <c r="D32">
        <v>155.44999999999999</v>
      </c>
      <c r="E32">
        <v>157.03</v>
      </c>
      <c r="F32">
        <v>155.30000000000001</v>
      </c>
      <c r="G32">
        <v>6446000</v>
      </c>
    </row>
    <row r="33" spans="1:7" x14ac:dyDescent="0.25">
      <c r="A33" s="4">
        <v>45866</v>
      </c>
      <c r="B33" s="5" t="s">
        <v>31</v>
      </c>
      <c r="C33">
        <v>156.55000000000001</v>
      </c>
      <c r="D33">
        <v>154.94999999999999</v>
      </c>
      <c r="E33">
        <v>156.28</v>
      </c>
      <c r="F33">
        <v>154.56</v>
      </c>
      <c r="G33">
        <v>8755400</v>
      </c>
    </row>
    <row r="34" spans="1:7" x14ac:dyDescent="0.25">
      <c r="A34" s="4">
        <v>45863</v>
      </c>
      <c r="B34" s="5" t="s">
        <v>32</v>
      </c>
      <c r="C34">
        <v>156.19999999999999</v>
      </c>
      <c r="D34">
        <v>153.96</v>
      </c>
      <c r="E34">
        <v>154.84</v>
      </c>
      <c r="F34">
        <v>153.13999999999999</v>
      </c>
      <c r="G34">
        <v>7875500</v>
      </c>
    </row>
    <row r="35" spans="1:7" x14ac:dyDescent="0.25">
      <c r="A35" s="4">
        <v>45862</v>
      </c>
      <c r="B35" s="5" t="s">
        <v>33</v>
      </c>
      <c r="C35">
        <v>156</v>
      </c>
      <c r="D35">
        <v>152.19999999999999</v>
      </c>
      <c r="E35">
        <v>155.83000000000001</v>
      </c>
      <c r="F35">
        <v>154.11000000000001</v>
      </c>
      <c r="G35">
        <v>15701000</v>
      </c>
    </row>
    <row r="36" spans="1:7" x14ac:dyDescent="0.25">
      <c r="A36" s="4">
        <v>45861</v>
      </c>
      <c r="B36" s="5" t="s">
        <v>34</v>
      </c>
      <c r="C36">
        <v>153.13999999999999</v>
      </c>
      <c r="D36">
        <v>150.47</v>
      </c>
      <c r="E36">
        <v>153.12</v>
      </c>
      <c r="F36">
        <v>151.43</v>
      </c>
      <c r="G36">
        <v>13162800</v>
      </c>
    </row>
    <row r="37" spans="1:7" x14ac:dyDescent="0.25">
      <c r="A37" s="4">
        <v>45860</v>
      </c>
      <c r="B37" s="5" t="s">
        <v>35</v>
      </c>
      <c r="C37">
        <v>150.94</v>
      </c>
      <c r="D37">
        <v>148.47999999999999</v>
      </c>
      <c r="E37">
        <v>150.04</v>
      </c>
      <c r="F37">
        <v>148.38999999999999</v>
      </c>
      <c r="G37">
        <v>26196500</v>
      </c>
    </row>
    <row r="38" spans="1:7" x14ac:dyDescent="0.25">
      <c r="A38" s="4">
        <v>45859</v>
      </c>
      <c r="B38" s="5" t="s">
        <v>36</v>
      </c>
      <c r="C38">
        <v>151.66999999999999</v>
      </c>
      <c r="D38">
        <v>149.13</v>
      </c>
      <c r="E38">
        <v>149.68</v>
      </c>
      <c r="F38">
        <v>148.03</v>
      </c>
      <c r="G38">
        <v>17982200</v>
      </c>
    </row>
    <row r="39" spans="1:7" x14ac:dyDescent="0.25">
      <c r="A39" s="4">
        <v>45856</v>
      </c>
      <c r="B39" s="5" t="s">
        <v>37</v>
      </c>
      <c r="C39">
        <v>155.91</v>
      </c>
      <c r="D39">
        <v>146.53</v>
      </c>
      <c r="E39">
        <v>150.04</v>
      </c>
      <c r="F39">
        <v>148.38999999999999</v>
      </c>
      <c r="G39">
        <v>45782600</v>
      </c>
    </row>
    <row r="40" spans="1:7" x14ac:dyDescent="0.25">
      <c r="A40" s="4">
        <v>45855</v>
      </c>
      <c r="B40" s="5" t="s">
        <v>38</v>
      </c>
      <c r="C40">
        <v>151.84</v>
      </c>
      <c r="D40">
        <v>148.6</v>
      </c>
      <c r="E40">
        <v>151.38</v>
      </c>
      <c r="F40">
        <v>149.71</v>
      </c>
      <c r="G40">
        <v>8359600</v>
      </c>
    </row>
    <row r="41" spans="1:7" x14ac:dyDescent="0.25">
      <c r="A41" s="4">
        <v>45854</v>
      </c>
      <c r="B41" s="5" t="s">
        <v>39</v>
      </c>
      <c r="C41">
        <v>151.47999999999999</v>
      </c>
      <c r="D41">
        <v>149.22</v>
      </c>
      <c r="E41">
        <v>149.91999999999999</v>
      </c>
      <c r="F41">
        <v>148.27000000000001</v>
      </c>
      <c r="G41">
        <v>7923400</v>
      </c>
    </row>
    <row r="42" spans="1:7" x14ac:dyDescent="0.25">
      <c r="A42" s="4">
        <v>45853</v>
      </c>
      <c r="B42" s="5" t="s">
        <v>40</v>
      </c>
      <c r="C42">
        <v>152.31</v>
      </c>
      <c r="D42">
        <v>150.25</v>
      </c>
      <c r="E42">
        <v>150.69</v>
      </c>
      <c r="F42">
        <v>149.03</v>
      </c>
      <c r="G42">
        <v>7346300</v>
      </c>
    </row>
    <row r="43" spans="1:7" x14ac:dyDescent="0.25">
      <c r="A43" s="4">
        <v>45852</v>
      </c>
      <c r="B43" s="5" t="s">
        <v>41</v>
      </c>
      <c r="C43">
        <v>154.9</v>
      </c>
      <c r="D43">
        <v>151.13999999999999</v>
      </c>
      <c r="E43">
        <v>151.65</v>
      </c>
      <c r="F43">
        <v>149.97999999999999</v>
      </c>
      <c r="G43">
        <v>10706300</v>
      </c>
    </row>
    <row r="44" spans="1:7" x14ac:dyDescent="0.25">
      <c r="A44" s="4">
        <v>45849</v>
      </c>
      <c r="B44" s="5" t="s">
        <v>42</v>
      </c>
      <c r="C44">
        <v>155.88999999999999</v>
      </c>
      <c r="D44">
        <v>153.57</v>
      </c>
      <c r="E44">
        <v>155.31</v>
      </c>
      <c r="F44">
        <v>153.6</v>
      </c>
      <c r="G44">
        <v>8333200</v>
      </c>
    </row>
    <row r="45" spans="1:7" x14ac:dyDescent="0.25">
      <c r="A45" s="4">
        <v>45848</v>
      </c>
      <c r="B45" s="5" t="s">
        <v>43</v>
      </c>
      <c r="C45">
        <v>155.28</v>
      </c>
      <c r="D45">
        <v>151.68</v>
      </c>
      <c r="E45">
        <v>154.16999999999999</v>
      </c>
      <c r="F45">
        <v>152.47</v>
      </c>
      <c r="G45">
        <v>8395100</v>
      </c>
    </row>
    <row r="46" spans="1:7" x14ac:dyDescent="0.25">
      <c r="A46" s="4">
        <v>45847</v>
      </c>
      <c r="B46" s="5" t="s">
        <v>44</v>
      </c>
      <c r="C46">
        <v>153.96</v>
      </c>
      <c r="D46">
        <v>152.47999999999999</v>
      </c>
      <c r="E46">
        <v>153.02000000000001</v>
      </c>
      <c r="F46">
        <v>151.34</v>
      </c>
      <c r="G46">
        <v>9495900</v>
      </c>
    </row>
    <row r="47" spans="1:7" x14ac:dyDescent="0.25">
      <c r="A47" s="4">
        <v>45846</v>
      </c>
      <c r="B47" s="5" t="s">
        <v>45</v>
      </c>
      <c r="C47">
        <v>153.24</v>
      </c>
      <c r="D47">
        <v>147.26</v>
      </c>
      <c r="E47">
        <v>153.24</v>
      </c>
      <c r="F47">
        <v>151.55000000000001</v>
      </c>
      <c r="G47">
        <v>14082100</v>
      </c>
    </row>
    <row r="48" spans="1:7" x14ac:dyDescent="0.25">
      <c r="A48" s="4">
        <v>45845</v>
      </c>
      <c r="B48" s="5" t="s">
        <v>46</v>
      </c>
      <c r="C48">
        <v>148.16999999999999</v>
      </c>
      <c r="D48">
        <v>145.58000000000001</v>
      </c>
      <c r="E48">
        <v>147.4</v>
      </c>
      <c r="F48">
        <v>145.78</v>
      </c>
      <c r="G48">
        <v>9460900</v>
      </c>
    </row>
    <row r="49" spans="1:7" x14ac:dyDescent="0.25">
      <c r="A49" s="4">
        <v>45841</v>
      </c>
      <c r="B49" s="5" t="s">
        <v>47</v>
      </c>
      <c r="C49">
        <v>148.97999999999999</v>
      </c>
      <c r="D49">
        <v>147.36000000000001</v>
      </c>
      <c r="E49">
        <v>148.37</v>
      </c>
      <c r="F49">
        <v>146.74</v>
      </c>
      <c r="G49">
        <v>5173300</v>
      </c>
    </row>
    <row r="50" spans="1:7" x14ac:dyDescent="0.25">
      <c r="A50" s="4">
        <v>45840</v>
      </c>
      <c r="B50" s="5" t="s">
        <v>48</v>
      </c>
      <c r="C50">
        <v>148.01</v>
      </c>
      <c r="D50">
        <v>145.47</v>
      </c>
      <c r="E50">
        <v>147.97999999999999</v>
      </c>
      <c r="F50">
        <v>146.35</v>
      </c>
      <c r="G50">
        <v>8228700</v>
      </c>
    </row>
    <row r="51" spans="1:7" x14ac:dyDescent="0.25">
      <c r="A51" s="4">
        <v>45839</v>
      </c>
      <c r="B51" s="5" t="s">
        <v>49</v>
      </c>
      <c r="C51">
        <v>146.27000000000001</v>
      </c>
      <c r="D51">
        <v>142.51</v>
      </c>
      <c r="E51">
        <v>145.57</v>
      </c>
      <c r="F51">
        <v>143.97</v>
      </c>
      <c r="G51">
        <v>8508200</v>
      </c>
    </row>
    <row r="52" spans="1:7" x14ac:dyDescent="0.25">
      <c r="A52" s="4">
        <v>45838</v>
      </c>
      <c r="B52" s="5" t="s">
        <v>50</v>
      </c>
      <c r="C52">
        <v>144.1</v>
      </c>
      <c r="D52">
        <v>142.4</v>
      </c>
      <c r="E52">
        <v>143.19</v>
      </c>
      <c r="F52">
        <v>141.61000000000001</v>
      </c>
      <c r="G52">
        <v>6980300</v>
      </c>
    </row>
    <row r="53" spans="1:7" x14ac:dyDescent="0.25">
      <c r="A53" s="4">
        <v>45835</v>
      </c>
      <c r="B53" s="5" t="s">
        <v>51</v>
      </c>
      <c r="C53">
        <v>144.66999999999999</v>
      </c>
      <c r="D53">
        <v>142.57</v>
      </c>
      <c r="E53">
        <v>143.79</v>
      </c>
      <c r="F53">
        <v>142.21</v>
      </c>
      <c r="G53">
        <v>9213500</v>
      </c>
    </row>
    <row r="54" spans="1:7" x14ac:dyDescent="0.25">
      <c r="A54" s="4">
        <v>45834</v>
      </c>
      <c r="B54" s="5" t="s">
        <v>52</v>
      </c>
      <c r="C54">
        <v>145.08000000000001</v>
      </c>
      <c r="D54">
        <v>143.4</v>
      </c>
      <c r="E54">
        <v>144.44</v>
      </c>
      <c r="F54">
        <v>142.85</v>
      </c>
      <c r="G54">
        <v>7415700</v>
      </c>
    </row>
    <row r="55" spans="1:7" x14ac:dyDescent="0.25">
      <c r="A55" s="4">
        <v>45833</v>
      </c>
      <c r="B55" s="5" t="s">
        <v>53</v>
      </c>
      <c r="C55">
        <v>144.19999999999999</v>
      </c>
      <c r="D55">
        <v>142.51</v>
      </c>
      <c r="E55">
        <v>143.22999999999999</v>
      </c>
      <c r="F55">
        <v>141.65</v>
      </c>
      <c r="G55">
        <v>7386100</v>
      </c>
    </row>
    <row r="56" spans="1:7" x14ac:dyDescent="0.25">
      <c r="A56" s="4">
        <v>45832</v>
      </c>
      <c r="B56" s="5" t="s">
        <v>54</v>
      </c>
      <c r="C56">
        <v>146.38999999999999</v>
      </c>
      <c r="D56">
        <v>143.16</v>
      </c>
      <c r="E56">
        <v>143.55000000000001</v>
      </c>
      <c r="F56">
        <v>141.97</v>
      </c>
      <c r="G56">
        <v>10778400</v>
      </c>
    </row>
    <row r="57" spans="1:7" x14ac:dyDescent="0.25">
      <c r="A57" s="4">
        <v>45831</v>
      </c>
      <c r="B57" s="5" t="s">
        <v>55</v>
      </c>
      <c r="C57">
        <v>152.15</v>
      </c>
      <c r="D57">
        <v>146.32</v>
      </c>
      <c r="E57">
        <v>146.86000000000001</v>
      </c>
      <c r="F57">
        <v>145.24</v>
      </c>
      <c r="G57">
        <v>10540600</v>
      </c>
    </row>
    <row r="58" spans="1:7" x14ac:dyDescent="0.25">
      <c r="A58" s="4">
        <v>45828</v>
      </c>
      <c r="B58" s="5" t="s">
        <v>56</v>
      </c>
      <c r="C58">
        <v>149.9</v>
      </c>
      <c r="D58">
        <v>147.9</v>
      </c>
      <c r="E58">
        <v>149.55000000000001</v>
      </c>
      <c r="F58">
        <v>147.9</v>
      </c>
      <c r="G58">
        <v>23705900</v>
      </c>
    </row>
    <row r="59" spans="1:7" x14ac:dyDescent="0.25">
      <c r="A59" s="4">
        <v>45826</v>
      </c>
      <c r="B59" s="5" t="s">
        <v>57</v>
      </c>
      <c r="C59">
        <v>150.16999999999999</v>
      </c>
      <c r="D59">
        <v>147.69999999999999</v>
      </c>
      <c r="E59">
        <v>148.19</v>
      </c>
      <c r="F59">
        <v>146.56</v>
      </c>
      <c r="G59">
        <v>9841900</v>
      </c>
    </row>
    <row r="60" spans="1:7" x14ac:dyDescent="0.25">
      <c r="A60" s="4">
        <v>45825</v>
      </c>
      <c r="B60" s="5" t="s">
        <v>58</v>
      </c>
      <c r="C60">
        <v>149.97999999999999</v>
      </c>
      <c r="D60">
        <v>146.5</v>
      </c>
      <c r="E60">
        <v>148.85</v>
      </c>
      <c r="F60">
        <v>147.21</v>
      </c>
      <c r="G60">
        <v>11330300</v>
      </c>
    </row>
    <row r="61" spans="1:7" x14ac:dyDescent="0.25">
      <c r="A61" s="4">
        <v>45824</v>
      </c>
      <c r="B61" s="5" t="s">
        <v>59</v>
      </c>
      <c r="C61">
        <v>146.87</v>
      </c>
      <c r="D61">
        <v>143.74</v>
      </c>
      <c r="E61">
        <v>146.03</v>
      </c>
      <c r="F61">
        <v>144.41999999999999</v>
      </c>
      <c r="G61">
        <v>10105100</v>
      </c>
    </row>
    <row r="62" spans="1:7" x14ac:dyDescent="0.25">
      <c r="A62" s="4">
        <v>45821</v>
      </c>
      <c r="B62" s="5" t="s">
        <v>60</v>
      </c>
      <c r="C62">
        <v>147.6</v>
      </c>
      <c r="D62">
        <v>144.54</v>
      </c>
      <c r="E62">
        <v>145.91</v>
      </c>
      <c r="F62">
        <v>144.30000000000001</v>
      </c>
      <c r="G62">
        <v>14148000</v>
      </c>
    </row>
    <row r="63" spans="1:7" x14ac:dyDescent="0.25">
      <c r="A63" s="4">
        <v>45820</v>
      </c>
      <c r="B63" s="5" t="s">
        <v>61</v>
      </c>
      <c r="C63">
        <v>145.19999999999999</v>
      </c>
      <c r="D63">
        <v>143.43</v>
      </c>
      <c r="E63">
        <v>144.97</v>
      </c>
      <c r="F63">
        <v>143.37</v>
      </c>
      <c r="G63">
        <v>6999400</v>
      </c>
    </row>
    <row r="64" spans="1:7" x14ac:dyDescent="0.25">
      <c r="A64" s="4">
        <v>45819</v>
      </c>
      <c r="B64" s="5" t="s">
        <v>62</v>
      </c>
      <c r="C64">
        <v>145.12</v>
      </c>
      <c r="D64">
        <v>142.61000000000001</v>
      </c>
      <c r="E64">
        <v>144.78</v>
      </c>
      <c r="F64">
        <v>143.19</v>
      </c>
      <c r="G64">
        <v>9256700</v>
      </c>
    </row>
    <row r="65" spans="1:7" x14ac:dyDescent="0.25">
      <c r="A65" s="4">
        <v>45818</v>
      </c>
      <c r="B65" s="5" t="s">
        <v>63</v>
      </c>
      <c r="C65">
        <v>144.94</v>
      </c>
      <c r="D65">
        <v>141.91</v>
      </c>
      <c r="E65">
        <v>143.35</v>
      </c>
      <c r="F65">
        <v>141.77000000000001</v>
      </c>
      <c r="G65">
        <v>9841500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51B5-B487-423E-A50C-959CEA2B2EBA}">
  <sheetPr codeName="Sheet5"/>
  <dimension ref="B1:H65"/>
  <sheetViews>
    <sheetView topLeftCell="A9" workbookViewId="0">
      <selection activeCell="G2" sqref="G2:G65"/>
    </sheetView>
  </sheetViews>
  <sheetFormatPr defaultRowHeight="15" x14ac:dyDescent="0.25"/>
  <cols>
    <col min="2" max="2" width="11.85546875" customWidth="1"/>
    <col min="8" max="8" width="14.85546875" customWidth="1"/>
  </cols>
  <sheetData>
    <row r="1" spans="2:8" x14ac:dyDescent="0.25">
      <c r="B1" t="s">
        <v>66</v>
      </c>
      <c r="C1" t="s">
        <v>67</v>
      </c>
      <c r="D1" t="s">
        <v>68</v>
      </c>
      <c r="E1" t="s">
        <v>69</v>
      </c>
      <c r="F1" t="s">
        <v>71</v>
      </c>
      <c r="G1" t="s">
        <v>72</v>
      </c>
      <c r="H1" t="s">
        <v>70</v>
      </c>
    </row>
    <row r="2" spans="2:8" x14ac:dyDescent="0.25">
      <c r="B2" s="1">
        <v>45910</v>
      </c>
      <c r="C2" s="2">
        <v>91.86</v>
      </c>
      <c r="D2" s="2">
        <v>94.33</v>
      </c>
      <c r="E2" s="2">
        <v>91.69</v>
      </c>
      <c r="F2" s="2">
        <v>94.32</v>
      </c>
      <c r="G2" s="2">
        <v>94.32</v>
      </c>
      <c r="H2" s="3">
        <v>3520797</v>
      </c>
    </row>
    <row r="3" spans="2:8" x14ac:dyDescent="0.25">
      <c r="B3" s="1">
        <v>45909</v>
      </c>
      <c r="C3" s="2">
        <v>92.31</v>
      </c>
      <c r="D3" s="2">
        <v>93.66</v>
      </c>
      <c r="E3" s="2">
        <v>91.45</v>
      </c>
      <c r="F3" s="2">
        <v>91.86</v>
      </c>
      <c r="G3" s="2">
        <v>91.86</v>
      </c>
      <c r="H3" s="3">
        <v>5838300</v>
      </c>
    </row>
    <row r="4" spans="2:8" x14ac:dyDescent="0.25">
      <c r="B4" s="1">
        <v>45908</v>
      </c>
      <c r="C4" s="2">
        <v>93.03</v>
      </c>
      <c r="D4" s="2">
        <v>93.23</v>
      </c>
      <c r="E4" s="2">
        <v>90.51</v>
      </c>
      <c r="F4" s="2">
        <v>91.4</v>
      </c>
      <c r="G4" s="2">
        <v>91.4</v>
      </c>
      <c r="H4" s="3">
        <v>9750600</v>
      </c>
    </row>
    <row r="5" spans="2:8" x14ac:dyDescent="0.25">
      <c r="B5" s="1">
        <v>45905</v>
      </c>
      <c r="C5" s="2">
        <v>94.13</v>
      </c>
      <c r="D5" s="2">
        <v>94.87</v>
      </c>
      <c r="E5" s="2">
        <v>92.13</v>
      </c>
      <c r="F5" s="2">
        <v>92.95</v>
      </c>
      <c r="G5" s="2">
        <v>92.95</v>
      </c>
      <c r="H5" s="3">
        <v>8510300</v>
      </c>
    </row>
    <row r="6" spans="2:8" x14ac:dyDescent="0.25">
      <c r="B6" s="1">
        <v>45904</v>
      </c>
      <c r="C6" s="2">
        <v>94.55</v>
      </c>
      <c r="D6" s="2">
        <v>96.17</v>
      </c>
      <c r="E6" s="2">
        <v>93.98</v>
      </c>
      <c r="F6" s="2">
        <v>95.77</v>
      </c>
      <c r="G6" s="2">
        <v>95.77</v>
      </c>
      <c r="H6" s="3">
        <v>5612700</v>
      </c>
    </row>
    <row r="7" spans="2:8" x14ac:dyDescent="0.25">
      <c r="B7" s="1">
        <v>45903</v>
      </c>
      <c r="C7" s="2">
        <v>97.63</v>
      </c>
      <c r="D7" s="2">
        <v>98.28</v>
      </c>
      <c r="E7" s="2">
        <v>94.34</v>
      </c>
      <c r="F7" s="2">
        <v>94.65</v>
      </c>
      <c r="G7" s="2">
        <v>94.65</v>
      </c>
      <c r="H7" s="3">
        <v>9793500</v>
      </c>
    </row>
    <row r="8" spans="2:8" x14ac:dyDescent="0.25">
      <c r="B8" s="1">
        <v>45902</v>
      </c>
      <c r="C8" s="2">
        <v>99.1</v>
      </c>
      <c r="D8" s="2">
        <v>99.65</v>
      </c>
      <c r="E8" s="2">
        <v>97.79</v>
      </c>
      <c r="F8" s="2">
        <v>98.99</v>
      </c>
      <c r="G8" s="2">
        <v>98.99</v>
      </c>
      <c r="H8" s="3">
        <v>5192300</v>
      </c>
    </row>
    <row r="9" spans="2:8" x14ac:dyDescent="0.25">
      <c r="B9" s="1">
        <v>45898</v>
      </c>
      <c r="C9" s="2">
        <v>98.29</v>
      </c>
      <c r="D9" s="2">
        <v>99.32</v>
      </c>
      <c r="E9" s="2">
        <v>98.06</v>
      </c>
      <c r="F9" s="2">
        <v>98.97</v>
      </c>
      <c r="G9" s="2">
        <v>98.97</v>
      </c>
      <c r="H9" s="3">
        <v>4594300</v>
      </c>
    </row>
    <row r="10" spans="2:8" x14ac:dyDescent="0.25">
      <c r="B10" s="1">
        <v>45897</v>
      </c>
      <c r="C10" s="2">
        <v>98.07</v>
      </c>
      <c r="D10" s="2">
        <v>98.66</v>
      </c>
      <c r="E10" s="2">
        <v>96.83</v>
      </c>
      <c r="F10" s="2">
        <v>98.45</v>
      </c>
      <c r="G10" s="2">
        <v>98.45</v>
      </c>
      <c r="H10" s="3">
        <v>4241000</v>
      </c>
    </row>
    <row r="11" spans="2:8" x14ac:dyDescent="0.25">
      <c r="B11" s="1">
        <v>45896</v>
      </c>
      <c r="C11" s="2">
        <v>97.1</v>
      </c>
      <c r="D11" s="2">
        <v>98.63</v>
      </c>
      <c r="E11" s="2">
        <v>96.77</v>
      </c>
      <c r="F11" s="2">
        <v>97.9</v>
      </c>
      <c r="G11" s="2">
        <v>97.9</v>
      </c>
      <c r="H11" s="3">
        <v>5759500</v>
      </c>
    </row>
    <row r="12" spans="2:8" x14ac:dyDescent="0.25">
      <c r="B12" s="1">
        <v>45895</v>
      </c>
      <c r="C12" s="2">
        <v>97.59</v>
      </c>
      <c r="D12" s="2">
        <v>98</v>
      </c>
      <c r="E12" s="2">
        <v>96.38</v>
      </c>
      <c r="F12" s="2">
        <v>97.05</v>
      </c>
      <c r="G12" s="2">
        <v>97.05</v>
      </c>
      <c r="H12" s="3">
        <v>7052100</v>
      </c>
    </row>
    <row r="13" spans="2:8" x14ac:dyDescent="0.25">
      <c r="B13" s="1">
        <v>45894</v>
      </c>
      <c r="C13" s="2">
        <v>96.79</v>
      </c>
      <c r="D13" s="2">
        <v>98.22</v>
      </c>
      <c r="E13" s="2">
        <v>96.2</v>
      </c>
      <c r="F13" s="2">
        <v>98.18</v>
      </c>
      <c r="G13" s="2">
        <v>98.18</v>
      </c>
      <c r="H13" s="3">
        <v>6850800</v>
      </c>
    </row>
    <row r="14" spans="2:8" x14ac:dyDescent="0.25">
      <c r="B14" s="1">
        <v>45891</v>
      </c>
      <c r="C14" s="2">
        <v>95.23</v>
      </c>
      <c r="D14" s="2">
        <v>97.4</v>
      </c>
      <c r="E14" s="2">
        <v>95.18</v>
      </c>
      <c r="F14" s="2">
        <v>96.78</v>
      </c>
      <c r="G14" s="2">
        <v>96.78</v>
      </c>
      <c r="H14" s="3">
        <v>6338400</v>
      </c>
    </row>
    <row r="15" spans="2:8" x14ac:dyDescent="0.25">
      <c r="B15" s="1">
        <v>45890</v>
      </c>
      <c r="C15" s="2">
        <v>94.76</v>
      </c>
      <c r="D15" s="2">
        <v>95.37</v>
      </c>
      <c r="E15" s="2">
        <v>93.81</v>
      </c>
      <c r="F15" s="2">
        <v>94.78</v>
      </c>
      <c r="G15" s="2">
        <v>94.78</v>
      </c>
      <c r="H15" s="3">
        <v>5342100</v>
      </c>
    </row>
    <row r="16" spans="2:8" x14ac:dyDescent="0.25">
      <c r="B16" s="1">
        <v>45889</v>
      </c>
      <c r="C16" s="2">
        <v>94</v>
      </c>
      <c r="D16" s="2">
        <v>95.2</v>
      </c>
      <c r="E16" s="2">
        <v>93.95</v>
      </c>
      <c r="F16" s="2">
        <v>94.89</v>
      </c>
      <c r="G16" s="2">
        <v>94.89</v>
      </c>
      <c r="H16" s="3">
        <v>6133300</v>
      </c>
    </row>
    <row r="17" spans="2:8" x14ac:dyDescent="0.25">
      <c r="B17" s="1">
        <v>45888</v>
      </c>
      <c r="C17" s="2">
        <v>93.54</v>
      </c>
      <c r="D17" s="2">
        <v>94.56</v>
      </c>
      <c r="E17" s="2">
        <v>93.19</v>
      </c>
      <c r="F17" s="2">
        <v>93.76</v>
      </c>
      <c r="G17" s="2">
        <v>93.76</v>
      </c>
      <c r="H17" s="3">
        <v>5412100</v>
      </c>
    </row>
    <row r="18" spans="2:8" x14ac:dyDescent="0.25">
      <c r="B18" s="1">
        <v>45887</v>
      </c>
      <c r="C18" s="2">
        <v>94.46</v>
      </c>
      <c r="D18" s="2">
        <v>94.6</v>
      </c>
      <c r="E18" s="2">
        <v>93.34</v>
      </c>
      <c r="F18" s="2">
        <v>94</v>
      </c>
      <c r="G18" s="2">
        <v>94</v>
      </c>
      <c r="H18" s="3">
        <v>4849500</v>
      </c>
    </row>
    <row r="19" spans="2:8" x14ac:dyDescent="0.25">
      <c r="B19" s="1">
        <v>45884</v>
      </c>
      <c r="C19" s="2">
        <v>95.45</v>
      </c>
      <c r="D19" s="2">
        <v>96.43</v>
      </c>
      <c r="E19" s="2">
        <v>94.73</v>
      </c>
      <c r="F19" s="2">
        <v>95.33</v>
      </c>
      <c r="G19" s="2">
        <v>94.55</v>
      </c>
      <c r="H19" s="3">
        <v>6564700</v>
      </c>
    </row>
    <row r="20" spans="2:8" x14ac:dyDescent="0.25">
      <c r="B20" s="1">
        <v>45883</v>
      </c>
      <c r="C20" s="2">
        <v>95.6</v>
      </c>
      <c r="D20" s="2">
        <v>95.78</v>
      </c>
      <c r="E20" s="2">
        <v>94.29</v>
      </c>
      <c r="F20" s="2">
        <v>95.65</v>
      </c>
      <c r="G20" s="2">
        <v>94.87</v>
      </c>
      <c r="H20" s="3">
        <v>10057700</v>
      </c>
    </row>
    <row r="21" spans="2:8" x14ac:dyDescent="0.25">
      <c r="B21" s="1">
        <v>45882</v>
      </c>
      <c r="C21" s="2">
        <v>94.4</v>
      </c>
      <c r="D21" s="2">
        <v>95.88</v>
      </c>
      <c r="E21" s="2">
        <v>94.26</v>
      </c>
      <c r="F21" s="2">
        <v>95.88</v>
      </c>
      <c r="G21" s="2">
        <v>95.1</v>
      </c>
      <c r="H21" s="3">
        <v>7263300</v>
      </c>
    </row>
    <row r="22" spans="2:8" x14ac:dyDescent="0.25">
      <c r="B22" s="1">
        <v>45881</v>
      </c>
      <c r="C22" s="2">
        <v>94.39</v>
      </c>
      <c r="D22" s="2">
        <v>96.78</v>
      </c>
      <c r="E22" s="2">
        <v>93.53</v>
      </c>
      <c r="F22" s="2">
        <v>94.59</v>
      </c>
      <c r="G22" s="2">
        <v>93.82</v>
      </c>
      <c r="H22" s="3">
        <v>7524800</v>
      </c>
    </row>
    <row r="23" spans="2:8" x14ac:dyDescent="0.25">
      <c r="B23" s="1">
        <v>45880</v>
      </c>
      <c r="C23" s="2">
        <v>94.61</v>
      </c>
      <c r="D23" s="2">
        <v>95.5</v>
      </c>
      <c r="E23" s="2">
        <v>92.87</v>
      </c>
      <c r="F23" s="2">
        <v>93.53</v>
      </c>
      <c r="G23" s="2">
        <v>92.76</v>
      </c>
      <c r="H23" s="3">
        <v>6491400</v>
      </c>
    </row>
    <row r="24" spans="2:8" x14ac:dyDescent="0.25">
      <c r="B24" s="1">
        <v>45877</v>
      </c>
      <c r="C24" s="2">
        <v>93.56</v>
      </c>
      <c r="D24" s="2">
        <v>94.93</v>
      </c>
      <c r="E24" s="2">
        <v>91.7</v>
      </c>
      <c r="F24" s="2">
        <v>93.91</v>
      </c>
      <c r="G24" s="2">
        <v>93.14</v>
      </c>
      <c r="H24" s="3">
        <v>8765300</v>
      </c>
    </row>
    <row r="25" spans="2:8" x14ac:dyDescent="0.25">
      <c r="B25" s="1">
        <v>45876</v>
      </c>
      <c r="C25" s="2">
        <v>92.04</v>
      </c>
      <c r="D25" s="2">
        <v>95.14</v>
      </c>
      <c r="E25" s="2">
        <v>91.18</v>
      </c>
      <c r="F25" s="2">
        <v>92.6</v>
      </c>
      <c r="G25" s="2">
        <v>91.84</v>
      </c>
      <c r="H25" s="3">
        <v>10307300</v>
      </c>
    </row>
    <row r="26" spans="2:8" x14ac:dyDescent="0.25">
      <c r="B26" s="1">
        <v>45875</v>
      </c>
      <c r="C26" s="2">
        <v>94.59</v>
      </c>
      <c r="D26" s="2">
        <v>95.7</v>
      </c>
      <c r="E26" s="2">
        <v>92.58</v>
      </c>
      <c r="F26" s="2">
        <v>93.11</v>
      </c>
      <c r="G26" s="2">
        <v>92.35</v>
      </c>
      <c r="H26" s="3">
        <v>7078500</v>
      </c>
    </row>
    <row r="27" spans="2:8" x14ac:dyDescent="0.25">
      <c r="B27" s="1">
        <v>45874</v>
      </c>
      <c r="C27" s="2">
        <v>93.15</v>
      </c>
      <c r="D27" s="2">
        <v>93.51</v>
      </c>
      <c r="E27" s="2">
        <v>91.96</v>
      </c>
      <c r="F27" s="2">
        <v>93.2</v>
      </c>
      <c r="G27" s="2">
        <v>92.44</v>
      </c>
      <c r="H27" s="3">
        <v>7716200</v>
      </c>
    </row>
    <row r="28" spans="2:8" x14ac:dyDescent="0.25">
      <c r="B28" s="1">
        <v>45873</v>
      </c>
      <c r="C28" s="2">
        <v>92.25</v>
      </c>
      <c r="D28" s="2">
        <v>93.87</v>
      </c>
      <c r="E28" s="2">
        <v>92.1</v>
      </c>
      <c r="F28" s="2">
        <v>92.85</v>
      </c>
      <c r="G28" s="2">
        <v>92.09</v>
      </c>
      <c r="H28" s="3">
        <v>9384500</v>
      </c>
    </row>
    <row r="29" spans="2:8" x14ac:dyDescent="0.25">
      <c r="B29" s="1">
        <v>45870</v>
      </c>
      <c r="C29" s="2">
        <v>94.94</v>
      </c>
      <c r="D29" s="2">
        <v>95.49</v>
      </c>
      <c r="E29" s="2">
        <v>92.38</v>
      </c>
      <c r="F29" s="2">
        <v>92.76</v>
      </c>
      <c r="G29" s="2">
        <v>92</v>
      </c>
      <c r="H29" s="3">
        <v>6349200</v>
      </c>
    </row>
    <row r="30" spans="2:8" x14ac:dyDescent="0.25">
      <c r="B30" s="1">
        <v>45869</v>
      </c>
      <c r="C30" s="2">
        <v>95.26</v>
      </c>
      <c r="D30" s="2">
        <v>96.95</v>
      </c>
      <c r="E30" s="2">
        <v>95.1</v>
      </c>
      <c r="F30" s="2">
        <v>95.34</v>
      </c>
      <c r="G30" s="2">
        <v>94.56</v>
      </c>
      <c r="H30" s="3">
        <v>5648100</v>
      </c>
    </row>
    <row r="31" spans="2:8" x14ac:dyDescent="0.25">
      <c r="B31" s="1">
        <v>45868</v>
      </c>
      <c r="C31" s="2">
        <v>97.39</v>
      </c>
      <c r="D31" s="2">
        <v>97.45</v>
      </c>
      <c r="E31" s="2">
        <v>95.87</v>
      </c>
      <c r="F31" s="2">
        <v>96.67</v>
      </c>
      <c r="G31" s="2">
        <v>95.88</v>
      </c>
      <c r="H31" s="3">
        <v>6607600</v>
      </c>
    </row>
    <row r="32" spans="2:8" x14ac:dyDescent="0.25">
      <c r="B32" s="1">
        <v>45867</v>
      </c>
      <c r="C32" s="2">
        <v>97.31</v>
      </c>
      <c r="D32" s="2">
        <v>98.07</v>
      </c>
      <c r="E32" s="2">
        <v>96.65</v>
      </c>
      <c r="F32" s="2">
        <v>97.99</v>
      </c>
      <c r="G32" s="2">
        <v>97.19</v>
      </c>
      <c r="H32" s="3">
        <v>5157700</v>
      </c>
    </row>
    <row r="33" spans="2:8" x14ac:dyDescent="0.25">
      <c r="B33" s="1">
        <v>45866</v>
      </c>
      <c r="C33" s="2">
        <v>95.69</v>
      </c>
      <c r="D33" s="2">
        <v>97.32</v>
      </c>
      <c r="E33" s="2">
        <v>95.69</v>
      </c>
      <c r="F33" s="2">
        <v>97.02</v>
      </c>
      <c r="G33" s="2">
        <v>96.23</v>
      </c>
      <c r="H33" s="3">
        <v>4632400</v>
      </c>
    </row>
    <row r="34" spans="2:8" x14ac:dyDescent="0.25">
      <c r="B34" s="1">
        <v>45863</v>
      </c>
      <c r="C34" s="2">
        <v>95.7</v>
      </c>
      <c r="D34" s="2">
        <v>96.01</v>
      </c>
      <c r="E34" s="2">
        <v>94.74</v>
      </c>
      <c r="F34" s="2">
        <v>94.95</v>
      </c>
      <c r="G34" s="2">
        <v>94.17</v>
      </c>
      <c r="H34" s="3">
        <v>4501800</v>
      </c>
    </row>
    <row r="35" spans="2:8" x14ac:dyDescent="0.25">
      <c r="B35" s="1">
        <v>45862</v>
      </c>
      <c r="C35" s="2">
        <v>94.4</v>
      </c>
      <c r="D35" s="2">
        <v>95.79</v>
      </c>
      <c r="E35" s="2">
        <v>94.3</v>
      </c>
      <c r="F35" s="2">
        <v>95.62</v>
      </c>
      <c r="G35" s="2">
        <v>94.84</v>
      </c>
      <c r="H35" s="3">
        <v>5047900</v>
      </c>
    </row>
    <row r="36" spans="2:8" x14ac:dyDescent="0.25">
      <c r="B36" s="1">
        <v>45861</v>
      </c>
      <c r="C36" s="2">
        <v>93.54</v>
      </c>
      <c r="D36" s="2">
        <v>95.28</v>
      </c>
      <c r="E36" s="2">
        <v>93.15</v>
      </c>
      <c r="F36" s="2">
        <v>95.04</v>
      </c>
      <c r="G36" s="2">
        <v>94.26</v>
      </c>
      <c r="H36" s="3">
        <v>6921500</v>
      </c>
    </row>
    <row r="37" spans="2:8" x14ac:dyDescent="0.25">
      <c r="B37" s="1">
        <v>45860</v>
      </c>
      <c r="C37" s="2">
        <v>91.25</v>
      </c>
      <c r="D37" s="2">
        <v>93.3</v>
      </c>
      <c r="E37" s="2">
        <v>91.15</v>
      </c>
      <c r="F37" s="2">
        <v>92.98</v>
      </c>
      <c r="G37" s="2">
        <v>92.22</v>
      </c>
      <c r="H37" s="3">
        <v>5545500</v>
      </c>
    </row>
    <row r="38" spans="2:8" x14ac:dyDescent="0.25">
      <c r="B38" s="1">
        <v>45859</v>
      </c>
      <c r="C38" s="2">
        <v>91.74</v>
      </c>
      <c r="D38" s="2">
        <v>92.15</v>
      </c>
      <c r="E38" s="2">
        <v>90.9</v>
      </c>
      <c r="F38" s="2">
        <v>91</v>
      </c>
      <c r="G38" s="2">
        <v>90.26</v>
      </c>
      <c r="H38" s="3">
        <v>4436500</v>
      </c>
    </row>
    <row r="39" spans="2:8" x14ac:dyDescent="0.25">
      <c r="B39" s="1">
        <v>45856</v>
      </c>
      <c r="C39" s="2">
        <v>93.37</v>
      </c>
      <c r="D39" s="2">
        <v>93.75</v>
      </c>
      <c r="E39" s="2">
        <v>90.92</v>
      </c>
      <c r="F39" s="2">
        <v>91.64</v>
      </c>
      <c r="G39" s="2">
        <v>90.89</v>
      </c>
      <c r="H39" s="3">
        <v>7968000</v>
      </c>
    </row>
    <row r="40" spans="2:8" x14ac:dyDescent="0.25">
      <c r="B40" s="1">
        <v>45855</v>
      </c>
      <c r="C40" s="2">
        <v>91.1</v>
      </c>
      <c r="D40" s="2">
        <v>92.97</v>
      </c>
      <c r="E40" s="2">
        <v>90.77</v>
      </c>
      <c r="F40" s="2">
        <v>92.81</v>
      </c>
      <c r="G40" s="2">
        <v>92.05</v>
      </c>
      <c r="H40" s="3">
        <v>4899400</v>
      </c>
    </row>
    <row r="41" spans="2:8" x14ac:dyDescent="0.25">
      <c r="B41" s="1">
        <v>45854</v>
      </c>
      <c r="C41" s="2">
        <v>92.41</v>
      </c>
      <c r="D41" s="2">
        <v>93</v>
      </c>
      <c r="E41" s="2">
        <v>91.1</v>
      </c>
      <c r="F41" s="2">
        <v>91.51</v>
      </c>
      <c r="G41" s="2">
        <v>90.76</v>
      </c>
      <c r="H41" s="3">
        <v>3773700</v>
      </c>
    </row>
    <row r="42" spans="2:8" x14ac:dyDescent="0.25">
      <c r="B42" s="1">
        <v>45853</v>
      </c>
      <c r="C42" s="2">
        <v>94.27</v>
      </c>
      <c r="D42" s="2">
        <v>94.56</v>
      </c>
      <c r="E42" s="2">
        <v>92.47</v>
      </c>
      <c r="F42" s="2">
        <v>92.55</v>
      </c>
      <c r="G42" s="2">
        <v>91.79</v>
      </c>
      <c r="H42" s="3">
        <v>4152400</v>
      </c>
    </row>
    <row r="43" spans="2:8" x14ac:dyDescent="0.25">
      <c r="B43" s="1">
        <v>45852</v>
      </c>
      <c r="C43" s="2">
        <v>94.96</v>
      </c>
      <c r="D43" s="2">
        <v>95.66</v>
      </c>
      <c r="E43" s="2">
        <v>93.81</v>
      </c>
      <c r="F43" s="2">
        <v>94.17</v>
      </c>
      <c r="G43" s="2">
        <v>93.4</v>
      </c>
      <c r="H43" s="3">
        <v>5504200</v>
      </c>
    </row>
    <row r="44" spans="2:8" x14ac:dyDescent="0.25">
      <c r="B44" s="1">
        <v>45849</v>
      </c>
      <c r="C44" s="2">
        <v>94.7</v>
      </c>
      <c r="D44" s="2">
        <v>96.19</v>
      </c>
      <c r="E44" s="2">
        <v>94.66</v>
      </c>
      <c r="F44" s="2">
        <v>95.61</v>
      </c>
      <c r="G44" s="2">
        <v>94.83</v>
      </c>
      <c r="H44" s="3">
        <v>4903400</v>
      </c>
    </row>
    <row r="45" spans="2:8" x14ac:dyDescent="0.25">
      <c r="B45" s="1">
        <v>45848</v>
      </c>
      <c r="C45" s="2">
        <v>94.1</v>
      </c>
      <c r="D45" s="2">
        <v>95.54</v>
      </c>
      <c r="E45" s="2">
        <v>93.2</v>
      </c>
      <c r="F45" s="2">
        <v>95.37</v>
      </c>
      <c r="G45" s="2">
        <v>94.59</v>
      </c>
      <c r="H45" s="3">
        <v>4065100</v>
      </c>
    </row>
    <row r="46" spans="2:8" x14ac:dyDescent="0.25">
      <c r="B46" s="1">
        <v>45847</v>
      </c>
      <c r="C46" s="2">
        <v>95.22</v>
      </c>
      <c r="D46" s="2">
        <v>95.79</v>
      </c>
      <c r="E46" s="2">
        <v>94.4</v>
      </c>
      <c r="F46" s="2">
        <v>94.53</v>
      </c>
      <c r="G46" s="2">
        <v>93.76</v>
      </c>
      <c r="H46" s="3">
        <v>5351500</v>
      </c>
    </row>
    <row r="47" spans="2:8" x14ac:dyDescent="0.25">
      <c r="B47" s="1">
        <v>45846</v>
      </c>
      <c r="C47" s="2">
        <v>92.55</v>
      </c>
      <c r="D47" s="2">
        <v>96.92</v>
      </c>
      <c r="E47" s="2">
        <v>92.52</v>
      </c>
      <c r="F47" s="2">
        <v>95.79</v>
      </c>
      <c r="G47" s="2">
        <v>95.01</v>
      </c>
      <c r="H47" s="3">
        <v>12934700</v>
      </c>
    </row>
    <row r="48" spans="2:8" x14ac:dyDescent="0.25">
      <c r="B48" s="1">
        <v>45845</v>
      </c>
      <c r="C48" s="2">
        <v>93.35</v>
      </c>
      <c r="D48" s="2">
        <v>93.72</v>
      </c>
      <c r="E48" s="2">
        <v>91.24</v>
      </c>
      <c r="F48" s="2">
        <v>92.55</v>
      </c>
      <c r="G48" s="2">
        <v>91.79</v>
      </c>
      <c r="H48" s="3">
        <v>6287100</v>
      </c>
    </row>
    <row r="49" spans="2:8" x14ac:dyDescent="0.25">
      <c r="B49" s="1">
        <v>45841</v>
      </c>
      <c r="C49" s="2">
        <v>93.95</v>
      </c>
      <c r="D49" s="2">
        <v>94.77</v>
      </c>
      <c r="E49" s="2">
        <v>93.55</v>
      </c>
      <c r="F49" s="2">
        <v>93.68</v>
      </c>
      <c r="G49" s="2">
        <v>92.91</v>
      </c>
      <c r="H49" s="3">
        <v>4331500</v>
      </c>
    </row>
    <row r="50" spans="2:8" x14ac:dyDescent="0.25">
      <c r="B50" s="1">
        <v>45840</v>
      </c>
      <c r="C50" s="2">
        <v>93.12</v>
      </c>
      <c r="D50" s="2">
        <v>94.48</v>
      </c>
      <c r="E50" s="2">
        <v>91.91</v>
      </c>
      <c r="F50" s="2">
        <v>94.44</v>
      </c>
      <c r="G50" s="2">
        <v>93.67</v>
      </c>
      <c r="H50" s="3">
        <v>9436000</v>
      </c>
    </row>
    <row r="51" spans="2:8" x14ac:dyDescent="0.25">
      <c r="B51" s="1">
        <v>45839</v>
      </c>
      <c r="C51" s="2">
        <v>89.86</v>
      </c>
      <c r="D51" s="2">
        <v>92.33</v>
      </c>
      <c r="E51" s="2">
        <v>89.2</v>
      </c>
      <c r="F51" s="2">
        <v>91.99</v>
      </c>
      <c r="G51" s="2">
        <v>91.24</v>
      </c>
      <c r="H51" s="3">
        <v>11895200</v>
      </c>
    </row>
    <row r="52" spans="2:8" x14ac:dyDescent="0.25">
      <c r="B52" s="1">
        <v>45838</v>
      </c>
      <c r="C52" s="2">
        <v>89.51</v>
      </c>
      <c r="D52" s="2">
        <v>90.19</v>
      </c>
      <c r="E52" s="2">
        <v>89.1</v>
      </c>
      <c r="F52" s="2">
        <v>89.74</v>
      </c>
      <c r="G52" s="2">
        <v>89.01</v>
      </c>
      <c r="H52" s="3">
        <v>6518900</v>
      </c>
    </row>
    <row r="53" spans="2:8" x14ac:dyDescent="0.25">
      <c r="B53" s="1">
        <v>45835</v>
      </c>
      <c r="C53" s="2">
        <v>90.9</v>
      </c>
      <c r="D53" s="2">
        <v>90.95</v>
      </c>
      <c r="E53" s="2">
        <v>89.8</v>
      </c>
      <c r="F53" s="2">
        <v>90.17</v>
      </c>
      <c r="G53" s="2">
        <v>89.43</v>
      </c>
      <c r="H53" s="3">
        <v>7555700</v>
      </c>
    </row>
    <row r="54" spans="2:8" x14ac:dyDescent="0.25">
      <c r="B54" s="1">
        <v>45834</v>
      </c>
      <c r="C54" s="2">
        <v>89.28</v>
      </c>
      <c r="D54" s="2">
        <v>90.91</v>
      </c>
      <c r="E54" s="2">
        <v>89.21</v>
      </c>
      <c r="F54" s="2">
        <v>90.89</v>
      </c>
      <c r="G54" s="2">
        <v>90.15</v>
      </c>
      <c r="H54" s="3">
        <v>6545000</v>
      </c>
    </row>
    <row r="55" spans="2:8" x14ac:dyDescent="0.25">
      <c r="B55" s="1">
        <v>45833</v>
      </c>
      <c r="C55" s="2">
        <v>89.31</v>
      </c>
      <c r="D55" s="2">
        <v>90.02</v>
      </c>
      <c r="E55" s="2">
        <v>88.8</v>
      </c>
      <c r="F55" s="2">
        <v>89</v>
      </c>
      <c r="G55" s="2">
        <v>88.27</v>
      </c>
      <c r="H55" s="3">
        <v>8380800</v>
      </c>
    </row>
    <row r="56" spans="2:8" x14ac:dyDescent="0.25">
      <c r="B56" s="1">
        <v>45832</v>
      </c>
      <c r="C56" s="2">
        <v>90.24</v>
      </c>
      <c r="D56" s="2">
        <v>91.65</v>
      </c>
      <c r="E56" s="2">
        <v>89.04</v>
      </c>
      <c r="F56" s="2">
        <v>89.39</v>
      </c>
      <c r="G56" s="2">
        <v>88.66</v>
      </c>
      <c r="H56" s="3">
        <v>11016200</v>
      </c>
    </row>
    <row r="57" spans="2:8" x14ac:dyDescent="0.25">
      <c r="B57" s="1">
        <v>45831</v>
      </c>
      <c r="C57" s="2">
        <v>96.25</v>
      </c>
      <c r="D57" s="2">
        <v>96.31</v>
      </c>
      <c r="E57" s="2">
        <v>91.15</v>
      </c>
      <c r="F57" s="2">
        <v>91.71</v>
      </c>
      <c r="G57" s="2">
        <v>90.96</v>
      </c>
      <c r="H57" s="3">
        <v>9749700</v>
      </c>
    </row>
    <row r="58" spans="2:8" x14ac:dyDescent="0.25">
      <c r="B58" s="1">
        <v>45828</v>
      </c>
      <c r="C58" s="2">
        <v>94.35</v>
      </c>
      <c r="D58" s="2">
        <v>95.18</v>
      </c>
      <c r="E58" s="2">
        <v>93.69</v>
      </c>
      <c r="F58" s="2">
        <v>94.69</v>
      </c>
      <c r="G58" s="2">
        <v>93.92</v>
      </c>
      <c r="H58" s="3">
        <v>16026400</v>
      </c>
    </row>
    <row r="59" spans="2:8" x14ac:dyDescent="0.25">
      <c r="B59" s="1">
        <v>45826</v>
      </c>
      <c r="C59" s="2">
        <v>95.52</v>
      </c>
      <c r="D59" s="2">
        <v>96.15</v>
      </c>
      <c r="E59" s="2">
        <v>93.31</v>
      </c>
      <c r="F59" s="2">
        <v>93.8</v>
      </c>
      <c r="G59" s="2">
        <v>93.03</v>
      </c>
      <c r="H59" s="3">
        <v>9116000</v>
      </c>
    </row>
    <row r="60" spans="2:8" x14ac:dyDescent="0.25">
      <c r="B60" s="1">
        <v>45825</v>
      </c>
      <c r="C60" s="2">
        <v>95.93</v>
      </c>
      <c r="D60" s="2">
        <v>96.75</v>
      </c>
      <c r="E60" s="2">
        <v>94.83</v>
      </c>
      <c r="F60" s="2">
        <v>95.5</v>
      </c>
      <c r="G60" s="2">
        <v>94.72</v>
      </c>
      <c r="H60" s="3">
        <v>9468100</v>
      </c>
    </row>
    <row r="61" spans="2:8" x14ac:dyDescent="0.25">
      <c r="B61" s="1">
        <v>45824</v>
      </c>
      <c r="C61" s="2">
        <v>96.12</v>
      </c>
      <c r="D61" s="2">
        <v>96.92</v>
      </c>
      <c r="E61" s="2">
        <v>94.01</v>
      </c>
      <c r="F61" s="2">
        <v>95</v>
      </c>
      <c r="G61" s="2">
        <v>94.22</v>
      </c>
      <c r="H61" s="3">
        <v>10330400</v>
      </c>
    </row>
    <row r="62" spans="2:8" x14ac:dyDescent="0.25">
      <c r="B62" s="1">
        <v>45821</v>
      </c>
      <c r="C62" s="2">
        <v>96.53</v>
      </c>
      <c r="D62" s="2">
        <v>98.25</v>
      </c>
      <c r="E62" s="2">
        <v>95.46</v>
      </c>
      <c r="F62" s="2">
        <v>96.96</v>
      </c>
      <c r="G62" s="2">
        <v>96.17</v>
      </c>
      <c r="H62" s="3">
        <v>16849700</v>
      </c>
    </row>
    <row r="63" spans="2:8" x14ac:dyDescent="0.25">
      <c r="B63" s="1">
        <v>45820</v>
      </c>
      <c r="C63" s="2">
        <v>92.7</v>
      </c>
      <c r="D63" s="2">
        <v>94.76</v>
      </c>
      <c r="E63" s="2">
        <v>92.13</v>
      </c>
      <c r="F63" s="2">
        <v>94.69</v>
      </c>
      <c r="G63" s="2">
        <v>93.92</v>
      </c>
      <c r="H63" s="3">
        <v>7862300</v>
      </c>
    </row>
    <row r="64" spans="2:8" x14ac:dyDescent="0.25">
      <c r="B64" s="1">
        <v>45819</v>
      </c>
      <c r="C64" s="2">
        <v>91.82</v>
      </c>
      <c r="D64" s="2">
        <v>93.82</v>
      </c>
      <c r="E64" s="2">
        <v>91.14</v>
      </c>
      <c r="F64" s="2">
        <v>93.35</v>
      </c>
      <c r="G64" s="2">
        <v>92.59</v>
      </c>
      <c r="H64" s="3">
        <v>8738500</v>
      </c>
    </row>
    <row r="65" spans="2:8" x14ac:dyDescent="0.25">
      <c r="B65" s="1">
        <v>45818</v>
      </c>
      <c r="C65" s="2">
        <v>89.33</v>
      </c>
      <c r="D65" s="2">
        <v>91.69</v>
      </c>
      <c r="E65" s="2">
        <v>89.08</v>
      </c>
      <c r="F65" s="2">
        <v>91.18</v>
      </c>
      <c r="G65" s="2">
        <v>90.43</v>
      </c>
      <c r="H65" s="3">
        <v>9687600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EA8B-AC54-4C49-81EA-4110A1AB2C5F}">
  <sheetPr codeName="Sheet6"/>
  <dimension ref="B1:P65"/>
  <sheetViews>
    <sheetView topLeftCell="A9" workbookViewId="0">
      <selection activeCell="G2" sqref="G2:G65"/>
    </sheetView>
  </sheetViews>
  <sheetFormatPr defaultRowHeight="15" x14ac:dyDescent="0.25"/>
  <cols>
    <col min="2" max="2" width="11.42578125" customWidth="1"/>
    <col min="8" max="8" width="15" customWidth="1"/>
  </cols>
  <sheetData>
    <row r="1" spans="2:16" x14ac:dyDescent="0.25">
      <c r="B1" t="s">
        <v>66</v>
      </c>
      <c r="C1" t="s">
        <v>67</v>
      </c>
      <c r="D1" t="s">
        <v>68</v>
      </c>
      <c r="E1" t="s">
        <v>69</v>
      </c>
      <c r="F1" t="s">
        <v>71</v>
      </c>
      <c r="G1" t="s">
        <v>72</v>
      </c>
      <c r="H1" t="s">
        <v>70</v>
      </c>
    </row>
    <row r="2" spans="2:16" x14ac:dyDescent="0.25">
      <c r="B2" s="1">
        <v>45910</v>
      </c>
      <c r="C2" s="6">
        <v>6550.29</v>
      </c>
      <c r="D2" s="6">
        <v>6555.97</v>
      </c>
      <c r="E2" s="6">
        <v>6516.34</v>
      </c>
      <c r="F2" s="6">
        <v>6532.04</v>
      </c>
      <c r="G2" s="6">
        <v>6532.04</v>
      </c>
      <c r="H2" s="3">
        <v>3137783996</v>
      </c>
    </row>
    <row r="3" spans="2:16" x14ac:dyDescent="0.25">
      <c r="B3" s="1">
        <v>45909</v>
      </c>
      <c r="C3" s="6">
        <v>6503.33</v>
      </c>
      <c r="D3" s="6">
        <v>6518.23</v>
      </c>
      <c r="E3" s="6">
        <v>6483.08</v>
      </c>
      <c r="F3" s="6">
        <v>6512.61</v>
      </c>
      <c r="G3" s="6">
        <v>6512.61</v>
      </c>
      <c r="H3" s="3">
        <v>4798350000</v>
      </c>
    </row>
    <row r="4" spans="2:16" x14ac:dyDescent="0.25">
      <c r="B4" s="1">
        <v>45908</v>
      </c>
      <c r="C4" s="6">
        <v>6498.09</v>
      </c>
      <c r="D4" s="6">
        <v>6508.67</v>
      </c>
      <c r="E4" s="6">
        <v>6483.29</v>
      </c>
      <c r="F4" s="6">
        <v>6495.15</v>
      </c>
      <c r="G4" s="6">
        <v>6495.15</v>
      </c>
      <c r="H4" s="3">
        <v>5211500000</v>
      </c>
    </row>
    <row r="5" spans="2:16" x14ac:dyDescent="0.25">
      <c r="B5" s="1">
        <v>45905</v>
      </c>
      <c r="C5" s="6">
        <v>6529.08</v>
      </c>
      <c r="D5" s="6">
        <v>6532.65</v>
      </c>
      <c r="E5" s="6">
        <v>6443.98</v>
      </c>
      <c r="F5" s="6">
        <v>6481.5</v>
      </c>
      <c r="G5" s="6">
        <v>6481.5</v>
      </c>
      <c r="H5" s="3">
        <v>5066120000</v>
      </c>
    </row>
    <row r="6" spans="2:16" x14ac:dyDescent="0.25">
      <c r="B6" s="1">
        <v>45904</v>
      </c>
      <c r="C6" s="6">
        <v>6456.6</v>
      </c>
      <c r="D6" s="6">
        <v>6502.54</v>
      </c>
      <c r="E6" s="6">
        <v>6445.98</v>
      </c>
      <c r="F6" s="6">
        <v>6502.08</v>
      </c>
      <c r="G6" s="6">
        <v>6502.08</v>
      </c>
      <c r="H6" s="3">
        <v>4670770000</v>
      </c>
    </row>
    <row r="7" spans="2:16" x14ac:dyDescent="0.25">
      <c r="B7" s="1">
        <v>45903</v>
      </c>
      <c r="C7" s="6">
        <v>6445.82</v>
      </c>
      <c r="D7" s="6">
        <v>6453.67</v>
      </c>
      <c r="E7" s="6">
        <v>6416.17</v>
      </c>
      <c r="F7" s="6">
        <v>6448.26</v>
      </c>
      <c r="G7" s="6">
        <v>6448.26</v>
      </c>
      <c r="H7" s="3">
        <v>4465360000</v>
      </c>
    </row>
    <row r="8" spans="2:16" x14ac:dyDescent="0.25">
      <c r="B8" s="1">
        <v>45902</v>
      </c>
      <c r="C8" s="6">
        <v>6401.51</v>
      </c>
      <c r="D8" s="6">
        <v>6416.54</v>
      </c>
      <c r="E8" s="6">
        <v>6360.58</v>
      </c>
      <c r="F8" s="6">
        <v>6415.54</v>
      </c>
      <c r="G8" s="6">
        <v>6415.54</v>
      </c>
      <c r="H8" s="3">
        <v>4784000000</v>
      </c>
    </row>
    <row r="9" spans="2:16" x14ac:dyDescent="0.25">
      <c r="B9" s="1">
        <v>45898</v>
      </c>
      <c r="C9" s="6">
        <v>6489.28</v>
      </c>
      <c r="D9" s="6">
        <v>6491.76</v>
      </c>
      <c r="E9" s="6">
        <v>6444.57</v>
      </c>
      <c r="F9" s="6">
        <v>6460.26</v>
      </c>
      <c r="G9" s="6">
        <v>6460.26</v>
      </c>
      <c r="H9" s="3">
        <v>4234840000</v>
      </c>
    </row>
    <row r="10" spans="2:16" x14ac:dyDescent="0.25">
      <c r="B10" s="1">
        <v>45897</v>
      </c>
      <c r="C10" s="6">
        <v>6483.84</v>
      </c>
      <c r="D10" s="6">
        <v>6508.23</v>
      </c>
      <c r="E10" s="6">
        <v>6466.96</v>
      </c>
      <c r="F10" s="6">
        <v>6501.86</v>
      </c>
      <c r="G10" s="6">
        <v>6501.86</v>
      </c>
      <c r="H10" s="3">
        <v>4283760000</v>
      </c>
    </row>
    <row r="11" spans="2:16" x14ac:dyDescent="0.25">
      <c r="B11" s="1">
        <v>45896</v>
      </c>
      <c r="C11" s="6">
        <v>6462.26</v>
      </c>
      <c r="D11" s="6">
        <v>6487.06</v>
      </c>
      <c r="E11" s="6">
        <v>6457.84</v>
      </c>
      <c r="F11" s="6">
        <v>6481.4</v>
      </c>
      <c r="G11" s="6">
        <v>6481.4</v>
      </c>
      <c r="H11" s="3">
        <v>4143680000</v>
      </c>
    </row>
    <row r="12" spans="2:16" x14ac:dyDescent="0.25">
      <c r="B12" s="1">
        <v>45895</v>
      </c>
      <c r="C12" s="6">
        <v>6435.49</v>
      </c>
      <c r="D12" s="6">
        <v>6468.37</v>
      </c>
      <c r="E12" s="6">
        <v>6429.21</v>
      </c>
      <c r="F12" s="6">
        <v>6465.94</v>
      </c>
      <c r="G12" s="6">
        <v>6465.94</v>
      </c>
      <c r="H12" s="3">
        <v>4867680000</v>
      </c>
    </row>
    <row r="13" spans="2:16" x14ac:dyDescent="0.25">
      <c r="B13" s="1">
        <v>45894</v>
      </c>
      <c r="C13" s="6">
        <v>6457.67</v>
      </c>
      <c r="D13" s="6">
        <v>6466.89</v>
      </c>
      <c r="E13" s="6">
        <v>6438.06</v>
      </c>
      <c r="F13" s="6">
        <v>6439.32</v>
      </c>
      <c r="G13" s="6">
        <v>6439.32</v>
      </c>
      <c r="H13" s="3">
        <v>4059070000</v>
      </c>
    </row>
    <row r="14" spans="2:16" x14ac:dyDescent="0.25">
      <c r="B14" s="1">
        <v>45891</v>
      </c>
      <c r="C14" s="6">
        <v>6384.59</v>
      </c>
      <c r="D14" s="6">
        <v>6478.89</v>
      </c>
      <c r="E14" s="6">
        <v>6384.59</v>
      </c>
      <c r="F14" s="6">
        <v>6466.91</v>
      </c>
      <c r="G14" s="6">
        <v>6466.91</v>
      </c>
      <c r="H14" s="3">
        <v>5046860000</v>
      </c>
    </row>
    <row r="15" spans="2:16" x14ac:dyDescent="0.25">
      <c r="B15" s="1">
        <v>45890</v>
      </c>
      <c r="C15" s="6">
        <v>6380.83</v>
      </c>
      <c r="D15" s="6">
        <v>6393.65</v>
      </c>
      <c r="E15" s="6">
        <v>6352.71</v>
      </c>
      <c r="F15" s="6">
        <v>6370.17</v>
      </c>
      <c r="G15" s="6">
        <v>6370.17</v>
      </c>
      <c r="H15" s="3">
        <v>4013560000</v>
      </c>
      <c r="L15" s="9"/>
      <c r="M15" s="9"/>
      <c r="N15" s="9"/>
      <c r="O15" s="9"/>
      <c r="P15" s="9"/>
    </row>
    <row r="16" spans="2:16" x14ac:dyDescent="0.25">
      <c r="B16" s="1">
        <v>45889</v>
      </c>
      <c r="C16" s="6">
        <v>6406.62</v>
      </c>
      <c r="D16" s="6">
        <v>6408.4</v>
      </c>
      <c r="E16" s="6">
        <v>6343.86</v>
      </c>
      <c r="F16" s="6">
        <v>6395.78</v>
      </c>
      <c r="G16" s="6">
        <v>6395.78</v>
      </c>
      <c r="H16" s="3">
        <v>4470390000</v>
      </c>
      <c r="L16" s="9"/>
      <c r="M16" s="9"/>
    </row>
    <row r="17" spans="2:13" x14ac:dyDescent="0.25">
      <c r="B17" s="1">
        <v>45888</v>
      </c>
      <c r="C17" s="6">
        <v>6446.24</v>
      </c>
      <c r="D17" s="6">
        <v>6456.48</v>
      </c>
      <c r="E17" s="6">
        <v>6400.22</v>
      </c>
      <c r="F17" s="6">
        <v>6411.37</v>
      </c>
      <c r="G17" s="6">
        <v>6411.37</v>
      </c>
      <c r="H17" s="3">
        <v>4377440000</v>
      </c>
      <c r="L17" s="9"/>
      <c r="M17" s="9"/>
    </row>
    <row r="18" spans="2:13" x14ac:dyDescent="0.25">
      <c r="B18" s="1">
        <v>45887</v>
      </c>
      <c r="C18" s="6">
        <v>6445.02</v>
      </c>
      <c r="D18" s="6">
        <v>6455.35</v>
      </c>
      <c r="E18" s="6">
        <v>6437.7</v>
      </c>
      <c r="F18" s="6">
        <v>6449.15</v>
      </c>
      <c r="G18" s="6">
        <v>6449.15</v>
      </c>
      <c r="H18" s="3">
        <v>4162290000</v>
      </c>
    </row>
    <row r="19" spans="2:13" ht="14.25" customHeight="1" x14ac:dyDescent="0.25">
      <c r="B19" s="1">
        <v>45884</v>
      </c>
      <c r="C19" s="6">
        <v>6477.38</v>
      </c>
      <c r="D19" s="6">
        <v>6481.34</v>
      </c>
      <c r="E19" s="6">
        <v>6441.85</v>
      </c>
      <c r="F19" s="6">
        <v>6449.8</v>
      </c>
      <c r="G19" s="6">
        <v>6449.8</v>
      </c>
      <c r="H19" s="3">
        <v>4575060000</v>
      </c>
    </row>
    <row r="20" spans="2:13" x14ac:dyDescent="0.25">
      <c r="B20" s="1">
        <v>45883</v>
      </c>
      <c r="C20" s="6">
        <v>6453.46</v>
      </c>
      <c r="D20" s="6">
        <v>6473.92</v>
      </c>
      <c r="E20" s="6">
        <v>6441.07</v>
      </c>
      <c r="F20" s="6">
        <v>6468.54</v>
      </c>
      <c r="G20" s="6">
        <v>6468.54</v>
      </c>
      <c r="H20" s="3">
        <v>4462050000</v>
      </c>
    </row>
    <row r="21" spans="2:13" x14ac:dyDescent="0.25">
      <c r="B21" s="1">
        <v>45882</v>
      </c>
      <c r="C21" s="6">
        <v>6462.67</v>
      </c>
      <c r="D21" s="6">
        <v>6480.28</v>
      </c>
      <c r="E21" s="6">
        <v>6445.02</v>
      </c>
      <c r="F21" s="6">
        <v>6466.58</v>
      </c>
      <c r="G21" s="6">
        <v>6466.58</v>
      </c>
      <c r="H21" s="3">
        <v>5195950000</v>
      </c>
    </row>
    <row r="22" spans="2:13" x14ac:dyDescent="0.25">
      <c r="B22" s="1">
        <v>45881</v>
      </c>
      <c r="C22" s="6">
        <v>6395.17</v>
      </c>
      <c r="D22" s="6">
        <v>6446.55</v>
      </c>
      <c r="E22" s="6">
        <v>6385.76</v>
      </c>
      <c r="F22" s="6">
        <v>6445.76</v>
      </c>
      <c r="G22" s="6">
        <v>6445.76</v>
      </c>
      <c r="H22" s="3">
        <v>5135300000</v>
      </c>
    </row>
    <row r="23" spans="2:13" x14ac:dyDescent="0.25">
      <c r="B23" s="1">
        <v>45880</v>
      </c>
      <c r="C23" s="6">
        <v>6389.67</v>
      </c>
      <c r="D23" s="6">
        <v>6407.25</v>
      </c>
      <c r="E23" s="6">
        <v>6364.06</v>
      </c>
      <c r="F23" s="6">
        <v>6373.45</v>
      </c>
      <c r="G23" s="6">
        <v>6373.45</v>
      </c>
      <c r="H23" s="3">
        <v>4652400000</v>
      </c>
    </row>
    <row r="24" spans="2:13" x14ac:dyDescent="0.25">
      <c r="B24" s="1">
        <v>45877</v>
      </c>
      <c r="C24" s="6">
        <v>6355.22</v>
      </c>
      <c r="D24" s="6">
        <v>6395.16</v>
      </c>
      <c r="E24" s="6">
        <v>6355.22</v>
      </c>
      <c r="F24" s="6">
        <v>6389.45</v>
      </c>
      <c r="G24" s="6">
        <v>6389.45</v>
      </c>
      <c r="H24" s="3">
        <v>4769910000</v>
      </c>
    </row>
    <row r="25" spans="2:13" x14ac:dyDescent="0.25">
      <c r="B25" s="1">
        <v>45876</v>
      </c>
      <c r="C25" s="6">
        <v>6374.32</v>
      </c>
      <c r="D25" s="6">
        <v>6389.71</v>
      </c>
      <c r="E25" s="6">
        <v>6310.32</v>
      </c>
      <c r="F25" s="6">
        <v>6340</v>
      </c>
      <c r="G25" s="6">
        <v>6340</v>
      </c>
      <c r="H25" s="3">
        <v>5306090000</v>
      </c>
    </row>
    <row r="26" spans="2:13" x14ac:dyDescent="0.25">
      <c r="B26" s="1">
        <v>45875</v>
      </c>
      <c r="C26" s="6">
        <v>6309.3</v>
      </c>
      <c r="D26" s="6">
        <v>6352.83</v>
      </c>
      <c r="E26" s="6">
        <v>6301.11</v>
      </c>
      <c r="F26" s="6">
        <v>6345.06</v>
      </c>
      <c r="G26" s="6">
        <v>6345.06</v>
      </c>
      <c r="H26" s="3">
        <v>5408560000</v>
      </c>
    </row>
    <row r="27" spans="2:13" x14ac:dyDescent="0.25">
      <c r="B27" s="1">
        <v>45874</v>
      </c>
      <c r="C27" s="6">
        <v>6336.63</v>
      </c>
      <c r="D27" s="6">
        <v>6346</v>
      </c>
      <c r="E27" s="6">
        <v>6289.37</v>
      </c>
      <c r="F27" s="6">
        <v>6299.19</v>
      </c>
      <c r="G27" s="6">
        <v>6299.19</v>
      </c>
      <c r="H27" s="3">
        <v>5517410000</v>
      </c>
    </row>
    <row r="28" spans="2:13" x14ac:dyDescent="0.25">
      <c r="B28" s="1">
        <v>45873</v>
      </c>
      <c r="C28" s="6">
        <v>6271.71</v>
      </c>
      <c r="D28" s="6">
        <v>6330.69</v>
      </c>
      <c r="E28" s="6">
        <v>6271.71</v>
      </c>
      <c r="F28" s="6">
        <v>6329.94</v>
      </c>
      <c r="G28" s="6">
        <v>6329.94</v>
      </c>
      <c r="H28" s="3">
        <v>4842580000</v>
      </c>
    </row>
    <row r="29" spans="2:13" x14ac:dyDescent="0.25">
      <c r="B29" s="1">
        <v>45870</v>
      </c>
      <c r="C29" s="6">
        <v>6287.28</v>
      </c>
      <c r="D29" s="6">
        <v>6287.28</v>
      </c>
      <c r="E29" s="6">
        <v>6212.69</v>
      </c>
      <c r="F29" s="6">
        <v>6238.01</v>
      </c>
      <c r="G29" s="6">
        <v>6238.01</v>
      </c>
      <c r="H29" s="3">
        <v>5827150000</v>
      </c>
    </row>
    <row r="30" spans="2:13" x14ac:dyDescent="0.25">
      <c r="B30" s="1">
        <v>45869</v>
      </c>
      <c r="C30" s="6">
        <v>6427.02</v>
      </c>
      <c r="D30" s="6">
        <v>6427.02</v>
      </c>
      <c r="E30" s="6">
        <v>6327.64</v>
      </c>
      <c r="F30" s="6">
        <v>6339.39</v>
      </c>
      <c r="G30" s="6">
        <v>6339.39</v>
      </c>
      <c r="H30" s="3">
        <v>6077080000</v>
      </c>
    </row>
    <row r="31" spans="2:13" x14ac:dyDescent="0.25">
      <c r="B31" s="1">
        <v>45868</v>
      </c>
      <c r="C31" s="6">
        <v>6381.23</v>
      </c>
      <c r="D31" s="6">
        <v>6396.54</v>
      </c>
      <c r="E31" s="6">
        <v>6336.38</v>
      </c>
      <c r="F31" s="6">
        <v>6362.9</v>
      </c>
      <c r="G31" s="6">
        <v>6362.9</v>
      </c>
      <c r="H31" s="3">
        <v>5375070000</v>
      </c>
    </row>
    <row r="32" spans="2:13" x14ac:dyDescent="0.25">
      <c r="B32" s="1">
        <v>45867</v>
      </c>
      <c r="C32" s="6">
        <v>6405.62</v>
      </c>
      <c r="D32" s="6">
        <v>6409.26</v>
      </c>
      <c r="E32" s="6">
        <v>6363.92</v>
      </c>
      <c r="F32" s="6">
        <v>6370.86</v>
      </c>
      <c r="G32" s="6">
        <v>6370.86</v>
      </c>
      <c r="H32" s="3">
        <v>5076120000</v>
      </c>
    </row>
    <row r="33" spans="2:8" x14ac:dyDescent="0.25">
      <c r="B33" s="1">
        <v>45866</v>
      </c>
      <c r="C33" s="6">
        <v>6397.69</v>
      </c>
      <c r="D33" s="6">
        <v>6401.07</v>
      </c>
      <c r="E33" s="6">
        <v>6375.79</v>
      </c>
      <c r="F33" s="6">
        <v>6389.77</v>
      </c>
      <c r="G33" s="6">
        <v>6389.77</v>
      </c>
      <c r="H33" s="3">
        <v>4565620000</v>
      </c>
    </row>
    <row r="34" spans="2:8" x14ac:dyDescent="0.25">
      <c r="B34" s="1">
        <v>45863</v>
      </c>
      <c r="C34" s="6">
        <v>6370.01</v>
      </c>
      <c r="D34" s="6">
        <v>6395.82</v>
      </c>
      <c r="E34" s="6">
        <v>6368.53</v>
      </c>
      <c r="F34" s="6">
        <v>6388.64</v>
      </c>
      <c r="G34" s="6">
        <v>6388.64</v>
      </c>
      <c r="H34" s="3">
        <v>4470720000</v>
      </c>
    </row>
    <row r="35" spans="2:8" x14ac:dyDescent="0.25">
      <c r="B35" s="1">
        <v>45862</v>
      </c>
      <c r="C35" s="6">
        <v>6368.6</v>
      </c>
      <c r="D35" s="6">
        <v>6381.31</v>
      </c>
      <c r="E35" s="6">
        <v>6360.57</v>
      </c>
      <c r="F35" s="6">
        <v>6363.35</v>
      </c>
      <c r="G35" s="6">
        <v>6363.35</v>
      </c>
      <c r="H35" s="3">
        <v>5282720000</v>
      </c>
    </row>
    <row r="36" spans="2:8" x14ac:dyDescent="0.25">
      <c r="B36" s="1">
        <v>45861</v>
      </c>
      <c r="C36" s="6">
        <v>6326.9</v>
      </c>
      <c r="D36" s="6">
        <v>6360.64</v>
      </c>
      <c r="E36" s="6">
        <v>6317.49</v>
      </c>
      <c r="F36" s="6">
        <v>6358.91</v>
      </c>
      <c r="G36" s="6">
        <v>6358.91</v>
      </c>
      <c r="H36" s="3">
        <v>5642510000</v>
      </c>
    </row>
    <row r="37" spans="2:8" x14ac:dyDescent="0.25">
      <c r="B37" s="1">
        <v>45860</v>
      </c>
      <c r="C37" s="6">
        <v>6306.6</v>
      </c>
      <c r="D37" s="6">
        <v>6316.12</v>
      </c>
      <c r="E37" s="6">
        <v>6281.71</v>
      </c>
      <c r="F37" s="6">
        <v>6309.62</v>
      </c>
      <c r="G37" s="6">
        <v>6309.62</v>
      </c>
      <c r="H37" s="3">
        <v>5662040000</v>
      </c>
    </row>
    <row r="38" spans="2:8" x14ac:dyDescent="0.25">
      <c r="B38" s="1">
        <v>45859</v>
      </c>
      <c r="C38" s="6">
        <v>6304.74</v>
      </c>
      <c r="D38" s="6">
        <v>6336.08</v>
      </c>
      <c r="E38" s="6">
        <v>6303.79</v>
      </c>
      <c r="F38" s="6">
        <v>6305.6</v>
      </c>
      <c r="G38" s="6">
        <v>6305.6</v>
      </c>
      <c r="H38" s="3">
        <v>5010840000</v>
      </c>
    </row>
    <row r="39" spans="2:8" x14ac:dyDescent="0.25">
      <c r="B39" s="1">
        <v>45856</v>
      </c>
      <c r="C39" s="6">
        <v>6312.95</v>
      </c>
      <c r="D39" s="6">
        <v>6315.61</v>
      </c>
      <c r="E39" s="6">
        <v>6285.27</v>
      </c>
      <c r="F39" s="6">
        <v>6296.79</v>
      </c>
      <c r="G39" s="6">
        <v>6296.79</v>
      </c>
      <c r="H39" s="3">
        <v>5184700000</v>
      </c>
    </row>
    <row r="40" spans="2:8" x14ac:dyDescent="0.25">
      <c r="B40" s="1">
        <v>45855</v>
      </c>
      <c r="C40" s="6">
        <v>6263.4</v>
      </c>
      <c r="D40" s="6">
        <v>6304.69</v>
      </c>
      <c r="E40" s="6">
        <v>6262.27</v>
      </c>
      <c r="F40" s="6">
        <v>6297.36</v>
      </c>
      <c r="G40" s="6">
        <v>6297.36</v>
      </c>
      <c r="H40" s="3">
        <v>5512290000</v>
      </c>
    </row>
    <row r="41" spans="2:8" x14ac:dyDescent="0.25">
      <c r="B41" s="1">
        <v>45854</v>
      </c>
      <c r="C41" s="6">
        <v>6254.5</v>
      </c>
      <c r="D41" s="6">
        <v>6268.12</v>
      </c>
      <c r="E41" s="6">
        <v>6201.59</v>
      </c>
      <c r="F41" s="6">
        <v>6263.7</v>
      </c>
      <c r="G41" s="6">
        <v>6263.7</v>
      </c>
      <c r="H41" s="3">
        <v>5177460000</v>
      </c>
    </row>
    <row r="42" spans="2:8" x14ac:dyDescent="0.25">
      <c r="B42" s="1">
        <v>45853</v>
      </c>
      <c r="C42" s="6">
        <v>6295.29</v>
      </c>
      <c r="D42" s="6">
        <v>6302.04</v>
      </c>
      <c r="E42" s="6">
        <v>6241.68</v>
      </c>
      <c r="F42" s="6">
        <v>6243.76</v>
      </c>
      <c r="G42" s="6">
        <v>6243.76</v>
      </c>
      <c r="H42" s="3">
        <v>5133670000</v>
      </c>
    </row>
    <row r="43" spans="2:8" x14ac:dyDescent="0.25">
      <c r="B43" s="1">
        <v>45852</v>
      </c>
      <c r="C43" s="6">
        <v>6255.15</v>
      </c>
      <c r="D43" s="6">
        <v>6273.31</v>
      </c>
      <c r="E43" s="6">
        <v>6239.22</v>
      </c>
      <c r="F43" s="6">
        <v>6268.56</v>
      </c>
      <c r="G43" s="6">
        <v>6268.56</v>
      </c>
      <c r="H43" s="3">
        <v>4722250000</v>
      </c>
    </row>
    <row r="44" spans="2:8" x14ac:dyDescent="0.25">
      <c r="B44" s="1">
        <v>45849</v>
      </c>
      <c r="C44" s="6">
        <v>6255.68</v>
      </c>
      <c r="D44" s="6">
        <v>6269.44</v>
      </c>
      <c r="E44" s="6">
        <v>6237.6</v>
      </c>
      <c r="F44" s="6">
        <v>6259.75</v>
      </c>
      <c r="G44" s="6">
        <v>6259.75</v>
      </c>
      <c r="H44" s="3">
        <v>4656210000</v>
      </c>
    </row>
    <row r="45" spans="2:8" x14ac:dyDescent="0.25">
      <c r="B45" s="1">
        <v>45848</v>
      </c>
      <c r="C45" s="6">
        <v>6266.8</v>
      </c>
      <c r="D45" s="6">
        <v>6290.22</v>
      </c>
      <c r="E45" s="6">
        <v>6251.44</v>
      </c>
      <c r="F45" s="6">
        <v>6280.46</v>
      </c>
      <c r="G45" s="6">
        <v>6280.46</v>
      </c>
      <c r="H45" s="3">
        <v>5367350000</v>
      </c>
    </row>
    <row r="46" spans="2:8" x14ac:dyDescent="0.25">
      <c r="B46" s="1">
        <v>45847</v>
      </c>
      <c r="C46" s="6">
        <v>6243.33</v>
      </c>
      <c r="D46" s="6">
        <v>6269.16</v>
      </c>
      <c r="E46" s="6">
        <v>6231.43</v>
      </c>
      <c r="F46" s="6">
        <v>6263.26</v>
      </c>
      <c r="G46" s="6">
        <v>6263.26</v>
      </c>
      <c r="H46" s="3">
        <v>4813340000</v>
      </c>
    </row>
    <row r="47" spans="2:8" x14ac:dyDescent="0.25">
      <c r="B47" s="1">
        <v>45846</v>
      </c>
      <c r="C47" s="6">
        <v>6234.03</v>
      </c>
      <c r="D47" s="6">
        <v>6242.7</v>
      </c>
      <c r="E47" s="6">
        <v>6217.75</v>
      </c>
      <c r="F47" s="6">
        <v>6225.52</v>
      </c>
      <c r="G47" s="6">
        <v>6225.52</v>
      </c>
      <c r="H47" s="3">
        <v>5739030000</v>
      </c>
    </row>
    <row r="48" spans="2:8" x14ac:dyDescent="0.25">
      <c r="B48" s="1">
        <v>45845</v>
      </c>
      <c r="C48" s="6">
        <v>6259.04</v>
      </c>
      <c r="D48" s="6">
        <v>6262.07</v>
      </c>
      <c r="E48" s="6">
        <v>6201</v>
      </c>
      <c r="F48" s="6">
        <v>6229.98</v>
      </c>
      <c r="G48" s="6">
        <v>6229.98</v>
      </c>
      <c r="H48" s="3">
        <v>5236740000</v>
      </c>
    </row>
    <row r="49" spans="2:8" x14ac:dyDescent="0.25">
      <c r="B49" s="1">
        <v>45841</v>
      </c>
      <c r="C49" s="6">
        <v>6246.46</v>
      </c>
      <c r="D49" s="6">
        <v>6284.65</v>
      </c>
      <c r="E49" s="6">
        <v>6246.46</v>
      </c>
      <c r="F49" s="6">
        <v>6279.35</v>
      </c>
      <c r="G49" s="6">
        <v>6279.35</v>
      </c>
      <c r="H49" s="3">
        <v>3378110000</v>
      </c>
    </row>
    <row r="50" spans="2:8" x14ac:dyDescent="0.25">
      <c r="B50" s="1">
        <v>45840</v>
      </c>
      <c r="C50" s="6">
        <v>6193.88</v>
      </c>
      <c r="D50" s="6">
        <v>6227.6</v>
      </c>
      <c r="E50" s="6">
        <v>6188.29</v>
      </c>
      <c r="F50" s="6">
        <v>6227.42</v>
      </c>
      <c r="G50" s="6">
        <v>6227.42</v>
      </c>
      <c r="H50" s="3">
        <v>5645710000</v>
      </c>
    </row>
    <row r="51" spans="2:8" x14ac:dyDescent="0.25">
      <c r="B51" s="1">
        <v>45839</v>
      </c>
      <c r="C51" s="6">
        <v>6187.25</v>
      </c>
      <c r="D51" s="6">
        <v>6210.78</v>
      </c>
      <c r="E51" s="6">
        <v>6177.97</v>
      </c>
      <c r="F51" s="6">
        <v>6198.01</v>
      </c>
      <c r="G51" s="6">
        <v>6198.01</v>
      </c>
      <c r="H51" s="3">
        <v>6275310000</v>
      </c>
    </row>
    <row r="52" spans="2:8" x14ac:dyDescent="0.25">
      <c r="B52" s="1">
        <v>45838</v>
      </c>
      <c r="C52" s="6">
        <v>6193.36</v>
      </c>
      <c r="D52" s="6">
        <v>6215.08</v>
      </c>
      <c r="E52" s="6">
        <v>6174.97</v>
      </c>
      <c r="F52" s="6">
        <v>6204.95</v>
      </c>
      <c r="G52" s="6">
        <v>6204.95</v>
      </c>
      <c r="H52" s="3">
        <v>5782900000</v>
      </c>
    </row>
    <row r="53" spans="2:8" x14ac:dyDescent="0.25">
      <c r="B53" s="1">
        <v>45835</v>
      </c>
      <c r="C53" s="6">
        <v>6150.7</v>
      </c>
      <c r="D53" s="6">
        <v>6187.68</v>
      </c>
      <c r="E53" s="6">
        <v>6132.35</v>
      </c>
      <c r="F53" s="6">
        <v>6173.07</v>
      </c>
      <c r="G53" s="6">
        <v>6173.07</v>
      </c>
      <c r="H53" s="3">
        <v>7889350000</v>
      </c>
    </row>
    <row r="54" spans="2:8" x14ac:dyDescent="0.25">
      <c r="B54" s="1">
        <v>45834</v>
      </c>
      <c r="C54" s="6">
        <v>6112.09</v>
      </c>
      <c r="D54" s="6">
        <v>6146.52</v>
      </c>
      <c r="E54" s="6">
        <v>6107.27</v>
      </c>
      <c r="F54" s="6">
        <v>6141.02</v>
      </c>
      <c r="G54" s="6">
        <v>6141.02</v>
      </c>
      <c r="H54" s="3">
        <v>5308140000</v>
      </c>
    </row>
    <row r="55" spans="2:8" x14ac:dyDescent="0.25">
      <c r="B55" s="1">
        <v>45833</v>
      </c>
      <c r="C55" s="6">
        <v>6104.23</v>
      </c>
      <c r="D55" s="6">
        <v>6108.51</v>
      </c>
      <c r="E55" s="6">
        <v>6080.09</v>
      </c>
      <c r="F55" s="6">
        <v>6092.16</v>
      </c>
      <c r="G55" s="6">
        <v>6092.16</v>
      </c>
      <c r="H55" s="3">
        <v>5171110000</v>
      </c>
    </row>
    <row r="56" spans="2:8" x14ac:dyDescent="0.25">
      <c r="B56" s="1">
        <v>45832</v>
      </c>
      <c r="C56" s="6">
        <v>6061.21</v>
      </c>
      <c r="D56" s="6">
        <v>6101.76</v>
      </c>
      <c r="E56" s="6">
        <v>6059.25</v>
      </c>
      <c r="F56" s="6">
        <v>6092.18</v>
      </c>
      <c r="G56" s="6">
        <v>6092.18</v>
      </c>
      <c r="H56" s="3">
        <v>5443690000</v>
      </c>
    </row>
    <row r="57" spans="2:8" x14ac:dyDescent="0.25">
      <c r="B57" s="1">
        <v>45831</v>
      </c>
      <c r="C57" s="6">
        <v>5969.67</v>
      </c>
      <c r="D57" s="6">
        <v>6028.77</v>
      </c>
      <c r="E57" s="6">
        <v>5943.23</v>
      </c>
      <c r="F57" s="6">
        <v>6025.17</v>
      </c>
      <c r="G57" s="6">
        <v>6025.17</v>
      </c>
      <c r="H57" s="3">
        <v>5597000000</v>
      </c>
    </row>
    <row r="58" spans="2:8" x14ac:dyDescent="0.25">
      <c r="B58" s="1">
        <v>45828</v>
      </c>
      <c r="C58" s="6">
        <v>5999.67</v>
      </c>
      <c r="D58" s="6">
        <v>6018.2</v>
      </c>
      <c r="E58" s="6">
        <v>5952.56</v>
      </c>
      <c r="F58" s="6">
        <v>5967.84</v>
      </c>
      <c r="G58" s="6">
        <v>5967.84</v>
      </c>
      <c r="H58" s="3">
        <v>7451500000</v>
      </c>
    </row>
    <row r="59" spans="2:8" x14ac:dyDescent="0.25">
      <c r="B59" s="1">
        <v>45826</v>
      </c>
      <c r="C59" s="6">
        <v>5987.93</v>
      </c>
      <c r="D59" s="6">
        <v>6018.25</v>
      </c>
      <c r="E59" s="6">
        <v>5971.89</v>
      </c>
      <c r="F59" s="6">
        <v>5980.87</v>
      </c>
      <c r="G59" s="6">
        <v>5980.87</v>
      </c>
      <c r="H59" s="3">
        <v>5106470000</v>
      </c>
    </row>
    <row r="60" spans="2:8" x14ac:dyDescent="0.25">
      <c r="B60" s="1">
        <v>45825</v>
      </c>
      <c r="C60" s="6">
        <v>6012.15</v>
      </c>
      <c r="D60" s="6">
        <v>6023.25</v>
      </c>
      <c r="E60" s="6">
        <v>5974.8</v>
      </c>
      <c r="F60" s="6">
        <v>5982.72</v>
      </c>
      <c r="G60" s="6">
        <v>5982.72</v>
      </c>
      <c r="H60" s="3">
        <v>4955700000</v>
      </c>
    </row>
    <row r="61" spans="2:8" x14ac:dyDescent="0.25">
      <c r="B61" s="1">
        <v>45824</v>
      </c>
      <c r="C61" s="6">
        <v>6004</v>
      </c>
      <c r="D61" s="6">
        <v>6050.83</v>
      </c>
      <c r="E61" s="6">
        <v>6004</v>
      </c>
      <c r="F61" s="6">
        <v>6033.11</v>
      </c>
      <c r="G61" s="6">
        <v>6033.11</v>
      </c>
      <c r="H61" s="3">
        <v>5111710000</v>
      </c>
    </row>
    <row r="62" spans="2:8" x14ac:dyDescent="0.25">
      <c r="B62" s="1">
        <v>45821</v>
      </c>
      <c r="C62" s="6">
        <v>6000.56</v>
      </c>
      <c r="D62" s="6">
        <v>6026.16</v>
      </c>
      <c r="E62" s="6">
        <v>5963.21</v>
      </c>
      <c r="F62" s="6">
        <v>5976.97</v>
      </c>
      <c r="G62" s="6">
        <v>5976.97</v>
      </c>
      <c r="H62" s="3">
        <v>5258910000</v>
      </c>
    </row>
    <row r="63" spans="2:8" x14ac:dyDescent="0.25">
      <c r="B63" s="1">
        <v>45820</v>
      </c>
      <c r="C63" s="6">
        <v>6009.9</v>
      </c>
      <c r="D63" s="6">
        <v>6045.43</v>
      </c>
      <c r="E63" s="6">
        <v>6003.88</v>
      </c>
      <c r="F63" s="6">
        <v>6045.26</v>
      </c>
      <c r="G63" s="6">
        <v>6045.26</v>
      </c>
      <c r="H63" s="3">
        <v>4669500000</v>
      </c>
    </row>
    <row r="64" spans="2:8" x14ac:dyDescent="0.25">
      <c r="B64" s="1">
        <v>45819</v>
      </c>
      <c r="C64" s="6">
        <v>6049.38</v>
      </c>
      <c r="D64" s="6">
        <v>6059.4</v>
      </c>
      <c r="E64" s="6">
        <v>6002.32</v>
      </c>
      <c r="F64" s="6">
        <v>6022.24</v>
      </c>
      <c r="G64" s="6">
        <v>6022.24</v>
      </c>
      <c r="H64" s="3">
        <v>5111550000</v>
      </c>
    </row>
    <row r="65" spans="2:8" x14ac:dyDescent="0.25">
      <c r="B65" s="1">
        <v>45818</v>
      </c>
      <c r="C65" s="6">
        <v>6009.91</v>
      </c>
      <c r="D65" s="6">
        <v>6043.01</v>
      </c>
      <c r="E65" s="6">
        <v>6000.28</v>
      </c>
      <c r="F65" s="6">
        <v>6038.81</v>
      </c>
      <c r="G65" s="6">
        <v>6038.81</v>
      </c>
      <c r="H65" s="3">
        <v>4882880000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C02AFC-9A77-43D2-9893-80E63FDCDC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Compare</vt:lpstr>
      <vt:lpstr>BP</vt:lpstr>
      <vt:lpstr>XOM</vt:lpstr>
      <vt:lpstr>CVX</vt:lpstr>
      <vt:lpstr>COP</vt:lpstr>
      <vt:lpstr>SP500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Haberkorn</dc:creator>
  <cp:lastModifiedBy>David Haberkorn</cp:lastModifiedBy>
  <cp:lastPrinted>2025-09-10T21:16:36Z</cp:lastPrinted>
  <dcterms:created xsi:type="dcterms:W3CDTF">2025-09-10T20:16:34Z</dcterms:created>
  <dcterms:modified xsi:type="dcterms:W3CDTF">2025-09-10T21:19:46Z</dcterms:modified>
</cp:coreProperties>
</file>