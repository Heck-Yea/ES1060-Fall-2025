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uwy-my.sharepoint.com/personal/dhaberk1_uwyo_edu/Documents/Classes/College/Fall 2025/Intro to Engineering Problem Solving/"/>
    </mc:Choice>
  </mc:AlternateContent>
  <xr:revisionPtr revIDLastSave="1092" documentId="8_{70CB8A8F-F3F3-4B48-A8B3-16FD6A9E0B29}" xr6:coauthVersionLast="47" xr6:coauthVersionMax="47" xr10:uidLastSave="{A1D86BA6-2052-4EAA-8D3C-B144B3F1A5ED}"/>
  <bookViews>
    <workbookView xWindow="-105" yWindow="0" windowWidth="26010" windowHeight="20985" activeTab="3" xr2:uid="{4BE9ED50-8521-445B-B488-4CC049B090E7}"/>
  </bookViews>
  <sheets>
    <sheet name="Problem 1" sheetId="1" r:id="rId1"/>
    <sheet name="Problem 2" sheetId="2" r:id="rId2"/>
    <sheet name="Problem 3" sheetId="3" r:id="rId3"/>
    <sheet name="Problem 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4" l="1"/>
  <c r="J32" i="4"/>
  <c r="J31" i="4"/>
  <c r="L24" i="3" a="1"/>
  <c r="L24" i="3" s="1"/>
  <c r="P24" i="3" s="1" a="1"/>
  <c r="P24" i="3" s="1"/>
  <c r="C24" i="3" a="1"/>
  <c r="C24" i="3" s="1"/>
  <c r="G24" i="3" s="1" a="1"/>
  <c r="G24" i="3" s="1"/>
  <c r="I18" i="2"/>
  <c r="H18" i="2"/>
  <c r="J18" i="2" s="1"/>
  <c r="K18" i="2" s="1"/>
  <c r="M18" i="2" s="1"/>
  <c r="D36" i="2"/>
  <c r="C19" i="2"/>
  <c r="D19" i="2" s="1"/>
  <c r="C20" i="2"/>
  <c r="D20" i="2" s="1"/>
  <c r="C21" i="2"/>
  <c r="D21" i="2" s="1"/>
  <c r="C22" i="2"/>
  <c r="D22" i="2" s="1"/>
  <c r="C23" i="2"/>
  <c r="D23" i="2" s="1"/>
  <c r="C24" i="2"/>
  <c r="D24" i="2" s="1"/>
  <c r="C25" i="2"/>
  <c r="D25" i="2" s="1"/>
  <c r="C26" i="2"/>
  <c r="D26" i="2" s="1"/>
  <c r="C27" i="2"/>
  <c r="D27" i="2" s="1"/>
  <c r="C28" i="2"/>
  <c r="D28" i="2" s="1"/>
  <c r="C29" i="2"/>
  <c r="D29" i="2" s="1"/>
  <c r="C30" i="2"/>
  <c r="D30" i="2" s="1"/>
  <c r="C31" i="2"/>
  <c r="D31" i="2" s="1"/>
  <c r="C32" i="2"/>
  <c r="D32" i="2" s="1"/>
  <c r="C33" i="2"/>
  <c r="D33" i="2" s="1"/>
  <c r="C34" i="2"/>
  <c r="D34" i="2" s="1"/>
  <c r="C35" i="2"/>
  <c r="D35" i="2" s="1"/>
  <c r="C36" i="2"/>
  <c r="C37" i="2"/>
  <c r="D37" i="2" s="1"/>
  <c r="C38" i="2"/>
  <c r="D38" i="2" s="1"/>
  <c r="C18" i="2"/>
  <c r="D18" i="2" s="1"/>
  <c r="E34" i="1"/>
  <c r="E33" i="1"/>
  <c r="E32" i="1"/>
  <c r="I19" i="2" l="1"/>
  <c r="L18" i="2"/>
  <c r="H19" i="2" s="1"/>
  <c r="J19" i="2" s="1"/>
  <c r="K19" i="2" s="1"/>
  <c r="E35" i="1"/>
  <c r="E36" i="1"/>
  <c r="L19" i="2" l="1"/>
  <c r="H20" i="2" s="1"/>
  <c r="M19" i="2"/>
  <c r="N18" i="2"/>
  <c r="O18" i="2" s="1"/>
  <c r="J21" i="1"/>
  <c r="N19" i="2" l="1"/>
  <c r="O19" i="2" s="1"/>
  <c r="I20" i="2"/>
  <c r="J20" i="2" s="1"/>
  <c r="K20" i="2" s="1"/>
  <c r="M20" i="2" l="1"/>
  <c r="L20" i="2"/>
  <c r="H21" i="2" s="1"/>
  <c r="N20" i="2" l="1"/>
  <c r="O20" i="2" s="1"/>
  <c r="I21" i="2"/>
  <c r="J21" i="2" s="1"/>
  <c r="K21" i="2" s="1"/>
  <c r="L21" i="2" l="1"/>
  <c r="H22" i="2" s="1"/>
  <c r="M21" i="2"/>
  <c r="N21" i="2" l="1"/>
  <c r="O21" i="2" s="1"/>
  <c r="I22" i="2"/>
  <c r="J22" i="2"/>
  <c r="K22" i="2" s="1"/>
  <c r="L22" i="2" l="1"/>
  <c r="H23" i="2" s="1"/>
  <c r="M22" i="2"/>
  <c r="N22" i="2" l="1"/>
  <c r="O22" i="2" s="1"/>
  <c r="I23" i="2"/>
  <c r="J23" i="2" s="1"/>
  <c r="K23" i="2" s="1"/>
  <c r="L23" i="2" l="1"/>
  <c r="H24" i="2" s="1"/>
  <c r="M23" i="2"/>
  <c r="N23" i="2" l="1"/>
  <c r="O23" i="2" s="1"/>
  <c r="I24" i="2"/>
  <c r="J24" i="2" s="1"/>
  <c r="K24" i="2" s="1"/>
  <c r="L24" i="2" l="1"/>
  <c r="H25" i="2" s="1"/>
  <c r="M24" i="2"/>
  <c r="I25" i="2" l="1"/>
  <c r="N24" i="2"/>
  <c r="O24" i="2" s="1"/>
  <c r="J25" i="2"/>
  <c r="K25" i="2" s="1"/>
  <c r="L25" i="2" l="1"/>
  <c r="H26" i="2" s="1"/>
  <c r="M25" i="2"/>
  <c r="I26" i="2" l="1"/>
  <c r="N25" i="2"/>
  <c r="O25" i="2" s="1"/>
  <c r="J26" i="2"/>
  <c r="K26" i="2" s="1"/>
  <c r="L26" i="2" l="1"/>
  <c r="H27" i="2" s="1"/>
  <c r="M26" i="2"/>
  <c r="N26" i="2" l="1"/>
  <c r="O26" i="2" s="1"/>
  <c r="I27" i="2"/>
  <c r="J27" i="2"/>
  <c r="K27" i="2" s="1"/>
  <c r="L27" i="2" l="1"/>
  <c r="H28" i="2" s="1"/>
  <c r="M27" i="2"/>
  <c r="I28" i="2" l="1"/>
  <c r="N27" i="2"/>
  <c r="O27" i="2" s="1"/>
  <c r="J28" i="2"/>
  <c r="K28" i="2" s="1"/>
  <c r="M28" i="2" l="1"/>
  <c r="L28" i="2"/>
  <c r="J32" i="2" s="1"/>
  <c r="N28" i="2" l="1"/>
  <c r="O2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Haberkorn</author>
  </authors>
  <commentList>
    <comment ref="G21" authorId="0" shapeId="0" xr:uid="{4A770734-7B3A-4968-8E63-4CAD49FA41BD}">
      <text>
        <r>
          <rPr>
            <b/>
            <sz val="9"/>
            <color indexed="81"/>
            <rFont val="Tahoma"/>
            <family val="2"/>
          </rPr>
          <t>David Haberkorn:</t>
        </r>
        <r>
          <rPr>
            <sz val="9"/>
            <color indexed="81"/>
            <rFont val="Tahoma"/>
            <family val="2"/>
          </rPr>
          <t xml:space="preserve">
Input Data Here!</t>
        </r>
      </text>
    </comment>
    <comment ref="J21" authorId="0" shapeId="0" xr:uid="{69DA005C-3EB5-4B26-870F-EFD5F1A3958A}">
      <text>
        <r>
          <rPr>
            <b/>
            <sz val="9"/>
            <color indexed="81"/>
            <rFont val="Tahoma"/>
            <family val="2"/>
          </rPr>
          <t>David Haberkorn:</t>
        </r>
        <r>
          <rPr>
            <sz val="9"/>
            <color indexed="81"/>
            <rFont val="Tahoma"/>
            <family val="2"/>
          </rPr>
          <t xml:space="preserve">
Result Here!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futureMetadata name="XLDAPR" count="1">
    <bk>
      <extLst>
        <ext uri="{bdbb8cdc-fa1e-496e-a857-3c3f30c029c3}">
          <xda:dynamicArrayProperties fDynamic="1" fCollapsed="0"/>
        </ext>
      </extLst>
    </bk>
  </futureMetadata>
  <cellMetadata count="1">
    <bk>
      <rc t="2" v="0"/>
    </bk>
  </cellMetadata>
  <valueMetadata count="5">
    <bk>
      <rc t="1" v="0"/>
    </bk>
    <bk>
      <rc t="1" v="1"/>
    </bk>
    <bk>
      <rc t="1" v="2"/>
    </bk>
    <bk>
      <rc t="1" v="3"/>
    </bk>
    <bk>
      <rc t="1" v="4"/>
    </bk>
  </valueMetadata>
</metadata>
</file>

<file path=xl/sharedStrings.xml><?xml version="1.0" encoding="utf-8"?>
<sst xmlns="http://schemas.openxmlformats.org/spreadsheetml/2006/main" count="97" uniqueCount="68">
  <si>
    <t>Given</t>
  </si>
  <si>
    <t>Find</t>
  </si>
  <si>
    <t>Equation 2</t>
  </si>
  <si>
    <t>Equation 1</t>
  </si>
  <si>
    <t>An equation relating flexural moment (M) and steel ratio also exists, which is given in equation 2 where phi is a safety factor, f_y is the yield stress of the steel, b is the base of the rectangular cross section, d is the depth of the rectangular cross section, and f'_c is the specified concrete strength.</t>
  </si>
  <si>
    <t>The steel ratio, \rho</t>
  </si>
  <si>
    <t>Solution</t>
  </si>
  <si>
    <t>b</t>
  </si>
  <si>
    <t>Cross-Sectional Base</t>
  </si>
  <si>
    <t>Effective Depth</t>
  </si>
  <si>
    <t>Safety Factor</t>
  </si>
  <si>
    <t>Yield Stress</t>
  </si>
  <si>
    <t>Specified Concrete Strength</t>
  </si>
  <si>
    <t>0 = ax^2 + bx +c</t>
  </si>
  <si>
    <t>a</t>
  </si>
  <si>
    <t>c</t>
  </si>
  <si>
    <t>Flexural Moment</t>
  </si>
  <si>
    <t>+root</t>
  </si>
  <si>
    <t>- root</t>
  </si>
  <si>
    <t>Steel Ratio</t>
  </si>
  <si>
    <t>(INTERMEDIATE MATH)</t>
  </si>
  <si>
    <t>The steel ratio for a concrete beam is defined in equation 1, where A_S is the total area of steel, b is the base of the cross section and d is the effective depth.</t>
  </si>
  <si>
    <t>One root of the function in Figure 1.</t>
  </si>
  <si>
    <t>Figure 1</t>
  </si>
  <si>
    <t>We are given the function displayed in Figure 1.</t>
  </si>
  <si>
    <t>x</t>
  </si>
  <si>
    <t>f(x)</t>
  </si>
  <si>
    <t>Iteration</t>
  </si>
  <si>
    <t>m=(a+b)/2</t>
  </si>
  <si>
    <t>f(m)</t>
  </si>
  <si>
    <t>New a</t>
  </si>
  <si>
    <t>New b</t>
  </si>
  <si>
    <t>Int Size</t>
  </si>
  <si>
    <t>Approximate Root (With Tolerance = 0.001)</t>
  </si>
  <si>
    <t>If Statement</t>
  </si>
  <si>
    <t>Tolerance Met?</t>
  </si>
  <si>
    <t>We are given the systems of equations in Figure 1 and Figure 2, corresponsing to Problem A and Problem B, respectively.</t>
  </si>
  <si>
    <t>Fig. 2 - System 2</t>
  </si>
  <si>
    <t>Fig. 1 - System 1</t>
  </si>
  <si>
    <t>Solve the systems from Figure 1 and Figure 2</t>
  </si>
  <si>
    <t>Problem A</t>
  </si>
  <si>
    <t>Problem B</t>
  </si>
  <si>
    <t>Matrix</t>
  </si>
  <si>
    <t>Inverse</t>
  </si>
  <si>
    <t>David Haberkorn</t>
  </si>
  <si>
    <t>ES 1060</t>
  </si>
  <si>
    <t>Homework 2</t>
  </si>
  <si>
    <t>24 Sept 2025</t>
  </si>
  <si>
    <t>Problem 1</t>
  </si>
  <si>
    <t>Problem 2</t>
  </si>
  <si>
    <t>Problem 3</t>
  </si>
  <si>
    <t>Problem 4</t>
  </si>
  <si>
    <t>The following experimental data was obtained testing the shear strength of masonry walls with different aspect ratios.</t>
  </si>
  <si>
    <t>Test</t>
  </si>
  <si>
    <t>Aspect Ratio (h/L)</t>
  </si>
  <si>
    <t>Shear Strength (kN)</t>
  </si>
  <si>
    <t>Plot the data with approporiate axit titles and units.</t>
  </si>
  <si>
    <t>Fit a linear regression model.</t>
  </si>
  <si>
    <t>Answer the questions below.</t>
  </si>
  <si>
    <t>Slope</t>
  </si>
  <si>
    <t>Intercept</t>
  </si>
  <si>
    <t>R^2</t>
  </si>
  <si>
    <t>Answer</t>
  </si>
  <si>
    <t>Question</t>
  </si>
  <si>
    <t>Is the linear model a good fit?</t>
  </si>
  <si>
    <t>Yes. It has an R^2 value of 0.884, which is honestly pretty good. However, the walls were only tested for a realtively small range of aspect ratios, so there could be a better equation to fit the data.</t>
  </si>
  <si>
    <t>Regarding the slope, what does it mean about how wall aspect ratio influences shear strength?</t>
  </si>
  <si>
    <t>It means that the shorter and longer the wall, the better shear strength the wall will have. Which makes sense, because when the wall is short and long, it can brace using the floor/mount for an increased shear strength.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</si>
</sst>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Aptos Narrow"/>
      <family val="2"/>
      <scheme val="minor"/>
    </font>
    <font>
      <b/>
      <sz val="11"/>
      <color theme="1"/>
      <name val="Aptos Narrow"/>
      <family val="2"/>
      <scheme val="minor"/>
    </font>
    <font>
      <b/>
      <sz val="22"/>
      <color theme="1"/>
      <name val="Aptos Narrow"/>
      <family val="2"/>
      <scheme val="minor"/>
    </font>
    <font>
      <sz val="9"/>
      <color indexed="81"/>
      <name val="Tahoma"/>
      <family val="2"/>
    </font>
    <font>
      <b/>
      <sz val="9"/>
      <color indexed="81"/>
      <name val="Tahoma"/>
      <family val="2"/>
    </font>
    <font>
      <b/>
      <sz val="16"/>
      <color theme="1"/>
      <name val="Aptos Narrow"/>
      <family val="2"/>
      <scheme val="minor"/>
    </font>
    <font>
      <b/>
      <sz val="24"/>
      <color theme="1"/>
      <name val="Aptos Narrow"/>
      <family val="2"/>
      <scheme val="minor"/>
    </font>
  </fonts>
  <fills count="12">
    <fill>
      <patternFill patternType="none"/>
    </fill>
    <fill>
      <patternFill patternType="gray125"/>
    </fill>
    <fill>
      <patternFill patternType="solid">
        <fgColor theme="3" tint="0.49998474074526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181">
    <xf numFmtId="0" fontId="0" fillId="0" borderId="0" xfId="0"/>
    <xf numFmtId="0" fontId="0" fillId="0" borderId="0" xfId="0" applyAlignment="1">
      <alignment vertical="top" wrapText="1"/>
    </xf>
    <xf numFmtId="0" fontId="2" fillId="0" borderId="0" xfId="0" applyFont="1"/>
    <xf numFmtId="0" fontId="1" fillId="2" borderId="19" xfId="0" applyFont="1" applyFill="1" applyBorder="1"/>
    <xf numFmtId="0" fontId="0" fillId="0" borderId="25" xfId="0" applyBorder="1" applyAlignment="1"/>
    <xf numFmtId="164" fontId="0" fillId="0" borderId="26" xfId="0" applyNumberFormat="1" applyBorder="1"/>
    <xf numFmtId="0" fontId="0" fillId="0" borderId="25" xfId="0" applyBorder="1" applyAlignment="1">
      <alignment horizontal="left"/>
    </xf>
    <xf numFmtId="0" fontId="0" fillId="0" borderId="25" xfId="0" quotePrefix="1" applyBorder="1" applyAlignment="1"/>
    <xf numFmtId="0" fontId="0" fillId="0" borderId="27" xfId="0" quotePrefix="1" applyBorder="1"/>
    <xf numFmtId="164" fontId="0" fillId="0" borderId="28" xfId="0" applyNumberFormat="1" applyBorder="1"/>
    <xf numFmtId="164" fontId="0" fillId="3" borderId="3" xfId="0" applyNumberFormat="1" applyFill="1" applyBorder="1"/>
    <xf numFmtId="164" fontId="0" fillId="3" borderId="5" xfId="0" applyNumberFormat="1" applyFill="1" applyBorder="1"/>
    <xf numFmtId="164" fontId="0" fillId="3" borderId="17" xfId="0" applyNumberFormat="1" applyFill="1" applyBorder="1"/>
    <xf numFmtId="164" fontId="0" fillId="3" borderId="7" xfId="0" applyNumberFormat="1" applyFill="1" applyBorder="1"/>
    <xf numFmtId="0" fontId="0" fillId="6" borderId="4" xfId="0" applyFill="1" applyBorder="1"/>
    <xf numFmtId="0" fontId="0" fillId="6" borderId="5" xfId="0" applyFill="1" applyBorder="1"/>
    <xf numFmtId="0" fontId="0" fillId="6" borderId="6" xfId="0" applyFill="1" applyBorder="1"/>
    <xf numFmtId="0" fontId="0" fillId="6" borderId="7" xfId="0" applyFill="1" applyBorder="1"/>
    <xf numFmtId="164" fontId="0" fillId="7" borderId="1" xfId="0" applyNumberFormat="1" applyFill="1" applyBorder="1"/>
    <xf numFmtId="164" fontId="0" fillId="6" borderId="1" xfId="0" applyNumberFormat="1" applyFill="1" applyBorder="1"/>
    <xf numFmtId="164" fontId="0" fillId="7" borderId="18" xfId="0" applyNumberFormat="1" applyFill="1" applyBorder="1"/>
    <xf numFmtId="164" fontId="0" fillId="6" borderId="18" xfId="0" applyNumberFormat="1" applyFill="1" applyBorder="1"/>
    <xf numFmtId="0" fontId="0" fillId="6" borderId="30" xfId="0" applyFill="1" applyBorder="1"/>
    <xf numFmtId="164" fontId="0" fillId="7" borderId="31" xfId="0" applyNumberFormat="1" applyFill="1" applyBorder="1"/>
    <xf numFmtId="164" fontId="0" fillId="6" borderId="31" xfId="0" applyNumberFormat="1" applyFill="1" applyBorder="1"/>
    <xf numFmtId="0" fontId="1" fillId="5" borderId="19" xfId="0" applyFont="1" applyFill="1" applyBorder="1"/>
    <xf numFmtId="0" fontId="1" fillId="5" borderId="20" xfId="0" applyFont="1" applyFill="1" applyBorder="1"/>
    <xf numFmtId="0" fontId="1" fillId="5" borderId="21" xfId="0" applyFont="1" applyFill="1" applyBorder="1"/>
    <xf numFmtId="0" fontId="0" fillId="6" borderId="32" xfId="0" applyFill="1" applyBorder="1"/>
    <xf numFmtId="0" fontId="0" fillId="6" borderId="33" xfId="0" applyFill="1" applyBorder="1"/>
    <xf numFmtId="164" fontId="0" fillId="7" borderId="34" xfId="0" applyNumberFormat="1" applyFill="1" applyBorder="1"/>
    <xf numFmtId="0" fontId="0" fillId="6" borderId="17" xfId="0" applyFill="1" applyBorder="1"/>
    <xf numFmtId="0" fontId="1" fillId="6" borderId="2" xfId="0" applyFont="1" applyFill="1" applyBorder="1"/>
    <xf numFmtId="164" fontId="1" fillId="7" borderId="29" xfId="0" applyNumberFormat="1" applyFont="1" applyFill="1" applyBorder="1"/>
    <xf numFmtId="0" fontId="1" fillId="6" borderId="3" xfId="0" applyFont="1" applyFill="1" applyBorder="1"/>
    <xf numFmtId="0" fontId="1" fillId="6" borderId="6" xfId="0" applyFont="1" applyFill="1" applyBorder="1"/>
    <xf numFmtId="164" fontId="1" fillId="7" borderId="18" xfId="0" applyNumberFormat="1" applyFont="1" applyFill="1" applyBorder="1"/>
    <xf numFmtId="0" fontId="1" fillId="6" borderId="7" xfId="0" applyFont="1" applyFill="1" applyBorder="1"/>
    <xf numFmtId="164" fontId="0" fillId="7" borderId="18" xfId="0" applyNumberFormat="1" applyFont="1" applyFill="1" applyBorder="1"/>
    <xf numFmtId="0" fontId="0" fillId="0" borderId="10" xfId="0" applyBorder="1" applyAlignment="1">
      <alignment horizontal="left"/>
    </xf>
    <xf numFmtId="0" fontId="0" fillId="0" borderId="24" xfId="0" applyBorder="1" applyAlignment="1">
      <alignment horizontal="left"/>
    </xf>
    <xf numFmtId="0" fontId="0" fillId="0" borderId="0" xfId="0" applyAlignment="1">
      <alignment horizontal="center"/>
    </xf>
    <xf numFmtId="0" fontId="0" fillId="0" borderId="35" xfId="0" applyBorder="1"/>
    <xf numFmtId="0" fontId="0" fillId="0" borderId="15" xfId="0" applyBorder="1"/>
    <xf numFmtId="0" fontId="0" fillId="0" borderId="16" xfId="0" applyBorder="1"/>
    <xf numFmtId="0" fontId="0" fillId="0" borderId="36" xfId="0" applyBorder="1"/>
    <xf numFmtId="0" fontId="0" fillId="0" borderId="0" xfId="0" applyBorder="1"/>
    <xf numFmtId="0" fontId="0" fillId="0" borderId="37" xfId="0" applyBorder="1"/>
    <xf numFmtId="0" fontId="0" fillId="0" borderId="38" xfId="0" applyBorder="1"/>
    <xf numFmtId="0" fontId="0" fillId="0" borderId="39" xfId="0" applyBorder="1"/>
    <xf numFmtId="0" fontId="0" fillId="0" borderId="40" xfId="0" applyBorder="1"/>
    <xf numFmtId="164" fontId="1" fillId="0" borderId="41" xfId="0" applyNumberFormat="1" applyFont="1" applyBorder="1"/>
    <xf numFmtId="164" fontId="1" fillId="0" borderId="42" xfId="0" applyNumberFormat="1" applyFont="1" applyBorder="1"/>
    <xf numFmtId="164" fontId="1" fillId="0" borderId="43" xfId="0" applyNumberFormat="1" applyFont="1" applyBorder="1"/>
    <xf numFmtId="0" fontId="0" fillId="0" borderId="34" xfId="0" applyBorder="1"/>
    <xf numFmtId="0" fontId="0" fillId="0" borderId="44" xfId="0" applyBorder="1"/>
    <xf numFmtId="0" fontId="0" fillId="0" borderId="31" xfId="0" applyBorder="1"/>
    <xf numFmtId="164" fontId="0" fillId="0" borderId="35" xfId="0" applyNumberFormat="1" applyBorder="1"/>
    <xf numFmtId="164" fontId="0" fillId="0" borderId="15" xfId="0" applyNumberFormat="1" applyBorder="1"/>
    <xf numFmtId="164" fontId="0" fillId="0" borderId="16" xfId="0" applyNumberFormat="1" applyBorder="1"/>
    <xf numFmtId="164" fontId="0" fillId="0" borderId="36" xfId="0" applyNumberFormat="1" applyBorder="1"/>
    <xf numFmtId="164" fontId="0" fillId="0" borderId="0" xfId="0" applyNumberFormat="1" applyBorder="1"/>
    <xf numFmtId="164" fontId="0" fillId="0" borderId="37" xfId="0" applyNumberFormat="1" applyBorder="1"/>
    <xf numFmtId="164" fontId="0" fillId="0" borderId="38" xfId="0" applyNumberFormat="1" applyBorder="1"/>
    <xf numFmtId="164" fontId="0" fillId="0" borderId="39" xfId="0" applyNumberFormat="1" applyBorder="1"/>
    <xf numFmtId="164" fontId="0" fillId="0" borderId="40" xfId="0" applyNumberFormat="1" applyBorder="1"/>
    <xf numFmtId="0" fontId="0" fillId="0" borderId="0" xfId="0" applyAlignment="1">
      <alignment horizontal="center"/>
    </xf>
    <xf numFmtId="164" fontId="0" fillId="4" borderId="22" xfId="0" applyNumberFormat="1" applyFill="1" applyBorder="1" applyAlignment="1">
      <alignment horizontal="center"/>
    </xf>
    <xf numFmtId="164" fontId="0" fillId="4" borderId="23" xfId="0" applyNumberForma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1" fillId="5" borderId="2" xfId="0" applyFont="1" applyFill="1" applyBorder="1" applyAlignment="1">
      <alignment horizontal="center" wrapText="1"/>
    </xf>
    <xf numFmtId="0" fontId="1" fillId="5" borderId="29" xfId="0" applyFont="1" applyFill="1" applyBorder="1" applyAlignment="1">
      <alignment horizontal="center" wrapText="1"/>
    </xf>
    <xf numFmtId="0" fontId="1" fillId="5" borderId="4" xfId="0" applyFont="1" applyFill="1" applyBorder="1" applyAlignment="1">
      <alignment horizontal="center" wrapText="1"/>
    </xf>
    <xf numFmtId="0" fontId="1" fillId="5" borderId="1" xfId="0" applyFont="1" applyFill="1" applyBorder="1" applyAlignment="1">
      <alignment horizontal="center" wrapText="1"/>
    </xf>
    <xf numFmtId="0" fontId="1" fillId="5" borderId="6" xfId="0" applyFont="1" applyFill="1" applyBorder="1" applyAlignment="1">
      <alignment horizontal="center" wrapText="1"/>
    </xf>
    <xf numFmtId="0" fontId="1" fillId="5" borderId="18" xfId="0" applyFont="1" applyFill="1" applyBorder="1" applyAlignment="1">
      <alignment horizontal="center" wrapText="1"/>
    </xf>
    <xf numFmtId="164" fontId="1" fillId="6" borderId="29" xfId="0" applyNumberFormat="1" applyFont="1" applyFill="1" applyBorder="1" applyAlignment="1">
      <alignment horizontal="center" vertical="center"/>
    </xf>
    <xf numFmtId="0" fontId="1" fillId="6" borderId="3"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18" xfId="0" applyFont="1" applyFill="1" applyBorder="1" applyAlignment="1">
      <alignment horizontal="center" vertical="center"/>
    </xf>
    <xf numFmtId="0" fontId="1" fillId="6" borderId="7" xfId="0" applyFont="1" applyFill="1" applyBorder="1" applyAlignment="1">
      <alignment horizontal="center" vertical="center"/>
    </xf>
    <xf numFmtId="0" fontId="0" fillId="0" borderId="0" xfId="0" applyAlignment="1">
      <alignment horizontal="center" vertical="top" wrapText="1"/>
    </xf>
    <xf numFmtId="0" fontId="0" fillId="0" borderId="10" xfId="0" applyBorder="1" applyAlignment="1">
      <alignment horizontal="left" vertical="top" wrapText="1"/>
    </xf>
    <xf numFmtId="0" fontId="0" fillId="0" borderId="45"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5" xfId="0" applyBorder="1" applyAlignment="1">
      <alignment horizontal="left" wrapText="1"/>
    </xf>
    <xf numFmtId="0" fontId="0" fillId="0" borderId="0" xfId="0" applyBorder="1" applyAlignment="1">
      <alignment horizontal="left" wrapText="1"/>
    </xf>
    <xf numFmtId="0" fontId="0" fillId="0" borderId="26" xfId="0" applyBorder="1" applyAlignment="1">
      <alignment horizontal="left" wrapText="1"/>
    </xf>
    <xf numFmtId="0" fontId="0" fillId="0" borderId="27" xfId="0" applyBorder="1" applyAlignment="1">
      <alignment horizontal="left" wrapText="1"/>
    </xf>
    <xf numFmtId="0" fontId="0" fillId="0" borderId="46" xfId="0" applyBorder="1" applyAlignment="1">
      <alignment horizontal="left" wrapText="1"/>
    </xf>
    <xf numFmtId="0" fontId="0" fillId="0" borderId="28" xfId="0" applyBorder="1" applyAlignment="1">
      <alignment horizontal="left" wrapText="1"/>
    </xf>
    <xf numFmtId="0" fontId="0" fillId="0" borderId="24" xfId="0" applyBorder="1"/>
    <xf numFmtId="0" fontId="0" fillId="0" borderId="25" xfId="0" applyBorder="1" applyAlignment="1">
      <alignment horizontal="left"/>
    </xf>
    <xf numFmtId="0" fontId="0" fillId="0" borderId="0" xfId="0" applyBorder="1" applyAlignment="1">
      <alignment horizontal="left"/>
    </xf>
    <xf numFmtId="0" fontId="0" fillId="0" borderId="26" xfId="0" applyBorder="1"/>
    <xf numFmtId="0" fontId="0" fillId="0" borderId="27" xfId="0" applyBorder="1"/>
    <xf numFmtId="0" fontId="0" fillId="0" borderId="46" xfId="0" applyBorder="1"/>
    <xf numFmtId="0" fontId="0" fillId="0" borderId="28" xfId="0" applyBorder="1"/>
    <xf numFmtId="0" fontId="0" fillId="0" borderId="27" xfId="0" applyBorder="1" applyAlignment="1">
      <alignment horizontal="left"/>
    </xf>
    <xf numFmtId="0" fontId="0" fillId="0" borderId="46" xfId="0" applyBorder="1" applyAlignment="1">
      <alignment horizontal="left"/>
    </xf>
    <xf numFmtId="0" fontId="0" fillId="0" borderId="0" xfId="0" applyAlignment="1">
      <alignment horizontal="center" vertical="top"/>
    </xf>
    <xf numFmtId="0" fontId="0" fillId="0" borderId="27" xfId="0" applyBorder="1" applyAlignment="1">
      <alignment horizontal="left" vertical="top"/>
    </xf>
    <xf numFmtId="0" fontId="0" fillId="0" borderId="46" xfId="0" applyBorder="1" applyAlignment="1">
      <alignment horizontal="left" vertical="top"/>
    </xf>
    <xf numFmtId="0" fontId="0" fillId="0" borderId="28" xfId="0" applyBorder="1" applyAlignment="1">
      <alignment horizontal="left" vertical="top"/>
    </xf>
    <xf numFmtId="0" fontId="0" fillId="0" borderId="27" xfId="0" applyBorder="1" applyAlignment="1">
      <alignment vertical="top"/>
    </xf>
    <xf numFmtId="0" fontId="0" fillId="0" borderId="46" xfId="0" applyBorder="1" applyAlignment="1">
      <alignment vertical="top"/>
    </xf>
    <xf numFmtId="0" fontId="0" fillId="0" borderId="28" xfId="0" applyBorder="1" applyAlignment="1">
      <alignment vertical="top"/>
    </xf>
    <xf numFmtId="0" fontId="0" fillId="0" borderId="47" xfId="0" applyBorder="1" applyAlignment="1">
      <alignment horizontal="left"/>
    </xf>
    <xf numFmtId="0" fontId="0" fillId="0" borderId="48" xfId="0" applyBorder="1" applyAlignment="1">
      <alignment horizontal="left"/>
    </xf>
    <xf numFmtId="0" fontId="0" fillId="0" borderId="23" xfId="0" applyBorder="1" applyAlignment="1">
      <alignment horizontal="left"/>
    </xf>
    <xf numFmtId="0" fontId="0" fillId="0" borderId="10" xfId="0" applyBorder="1"/>
    <xf numFmtId="0" fontId="5" fillId="0" borderId="45" xfId="0" applyFont="1" applyBorder="1" applyAlignment="1">
      <alignment horizontal="center"/>
    </xf>
    <xf numFmtId="0" fontId="0" fillId="0" borderId="25" xfId="0" applyBorder="1"/>
    <xf numFmtId="0" fontId="0" fillId="0" borderId="28" xfId="0" applyBorder="1" applyAlignment="1">
      <alignment horizontal="left"/>
    </xf>
    <xf numFmtId="0" fontId="2" fillId="9" borderId="47" xfId="0" applyFont="1" applyFill="1" applyBorder="1" applyAlignment="1">
      <alignment horizontal="left"/>
    </xf>
    <xf numFmtId="0" fontId="2" fillId="9" borderId="48" xfId="0" applyFont="1" applyFill="1" applyBorder="1" applyAlignment="1">
      <alignment horizontal="left"/>
    </xf>
    <xf numFmtId="0" fontId="2" fillId="9" borderId="23" xfId="0" applyFont="1" applyFill="1" applyBorder="1" applyAlignment="1">
      <alignment horizontal="left"/>
    </xf>
    <xf numFmtId="0" fontId="2" fillId="9" borderId="47" xfId="0" applyFont="1" applyFill="1" applyBorder="1"/>
    <xf numFmtId="0" fontId="2" fillId="9" borderId="48" xfId="0" applyFont="1" applyFill="1" applyBorder="1"/>
    <xf numFmtId="0" fontId="2" fillId="9" borderId="23" xfId="0" applyFont="1" applyFill="1" applyBorder="1"/>
    <xf numFmtId="0" fontId="2" fillId="9" borderId="48" xfId="0" applyFont="1" applyFill="1" applyBorder="1" applyAlignment="1">
      <alignment horizontal="left"/>
    </xf>
    <xf numFmtId="0" fontId="2" fillId="9" borderId="47" xfId="0" applyFont="1" applyFill="1" applyBorder="1" applyAlignment="1">
      <alignment horizontal="left"/>
    </xf>
    <xf numFmtId="0" fontId="2" fillId="9" borderId="23" xfId="0" applyFont="1" applyFill="1" applyBorder="1" applyAlignment="1">
      <alignment horizontal="left"/>
    </xf>
    <xf numFmtId="0" fontId="1" fillId="2" borderId="11" xfId="0" applyFont="1" applyFill="1" applyBorder="1"/>
    <xf numFmtId="0" fontId="1" fillId="2" borderId="8" xfId="0" applyFont="1" applyFill="1" applyBorder="1"/>
    <xf numFmtId="0" fontId="1" fillId="2" borderId="12" xfId="0" applyFont="1" applyFill="1" applyBorder="1"/>
    <xf numFmtId="0" fontId="1" fillId="2" borderId="13" xfId="0" applyFont="1" applyFill="1" applyBorder="1"/>
    <xf numFmtId="0" fontId="1" fillId="2" borderId="9" xfId="0" applyFont="1" applyFill="1" applyBorder="1"/>
    <xf numFmtId="0" fontId="1" fillId="2" borderId="14" xfId="0" applyFont="1" applyFill="1" applyBorder="1"/>
    <xf numFmtId="0" fontId="1" fillId="2" borderId="49" xfId="0" applyFont="1" applyFill="1" applyBorder="1" applyAlignment="1">
      <alignment horizontal="left"/>
    </xf>
    <xf numFmtId="0" fontId="1" fillId="2" borderId="50" xfId="0" applyFont="1" applyFill="1" applyBorder="1" applyAlignment="1">
      <alignment horizontal="left"/>
    </xf>
    <xf numFmtId="0" fontId="1" fillId="2" borderId="51" xfId="0" applyFont="1" applyFill="1" applyBorder="1" applyAlignment="1">
      <alignment horizontal="left"/>
    </xf>
    <xf numFmtId="0" fontId="0" fillId="10" borderId="41" xfId="0" applyFill="1" applyBorder="1"/>
    <xf numFmtId="0" fontId="6" fillId="10" borderId="45" xfId="0" applyFont="1" applyFill="1" applyBorder="1" applyAlignment="1">
      <alignment horizontal="left" vertical="center"/>
    </xf>
    <xf numFmtId="0" fontId="6" fillId="10" borderId="24" xfId="0" applyFont="1" applyFill="1" applyBorder="1" applyAlignment="1">
      <alignment horizontal="left" vertical="center"/>
    </xf>
    <xf numFmtId="0" fontId="0" fillId="10" borderId="42" xfId="0" applyFill="1" applyBorder="1"/>
    <xf numFmtId="0" fontId="6" fillId="10" borderId="0" xfId="0" applyFont="1" applyFill="1" applyBorder="1" applyAlignment="1">
      <alignment horizontal="left" vertical="center"/>
    </xf>
    <xf numFmtId="0" fontId="6" fillId="10" borderId="26" xfId="0" applyFont="1" applyFill="1" applyBorder="1" applyAlignment="1">
      <alignment horizontal="left" vertical="center"/>
    </xf>
    <xf numFmtId="0" fontId="0" fillId="10" borderId="42" xfId="0" quotePrefix="1" applyFill="1" applyBorder="1"/>
    <xf numFmtId="0" fontId="0" fillId="10" borderId="43" xfId="0" applyFill="1" applyBorder="1"/>
    <xf numFmtId="0" fontId="6" fillId="10" borderId="46" xfId="0" applyFont="1" applyFill="1" applyBorder="1" applyAlignment="1">
      <alignment horizontal="left" vertical="center"/>
    </xf>
    <xf numFmtId="0" fontId="6" fillId="10" borderId="28" xfId="0" applyFont="1" applyFill="1" applyBorder="1" applyAlignment="1">
      <alignment horizontal="left" vertical="center"/>
    </xf>
    <xf numFmtId="0" fontId="0" fillId="0" borderId="45" xfId="0" applyBorder="1"/>
    <xf numFmtId="0" fontId="0" fillId="0" borderId="10" xfId="0" applyBorder="1"/>
    <xf numFmtId="0" fontId="0" fillId="0" borderId="24" xfId="0" applyBorder="1"/>
    <xf numFmtId="0" fontId="0" fillId="0" borderId="25" xfId="0" applyBorder="1"/>
    <xf numFmtId="0" fontId="0" fillId="0" borderId="0" xfId="0" applyBorder="1"/>
    <xf numFmtId="0" fontId="0" fillId="0" borderId="26" xfId="0" applyBorder="1"/>
    <xf numFmtId="0" fontId="0" fillId="0" borderId="27" xfId="0" applyBorder="1"/>
    <xf numFmtId="0" fontId="0" fillId="0" borderId="46" xfId="0" applyBorder="1"/>
    <xf numFmtId="0" fontId="0" fillId="0" borderId="28" xfId="0" applyBorder="1"/>
    <xf numFmtId="164" fontId="0" fillId="9" borderId="3" xfId="0" applyNumberFormat="1" applyFill="1" applyBorder="1"/>
    <xf numFmtId="164" fontId="0" fillId="9" borderId="5" xfId="0" applyNumberFormat="1" applyFill="1" applyBorder="1"/>
    <xf numFmtId="164" fontId="0" fillId="9" borderId="7" xfId="0" applyNumberFormat="1" applyFill="1" applyBorder="1"/>
    <xf numFmtId="0" fontId="1" fillId="8" borderId="2" xfId="0" applyFont="1" applyFill="1" applyBorder="1"/>
    <xf numFmtId="0" fontId="1" fillId="8" borderId="4" xfId="0" applyFont="1" applyFill="1" applyBorder="1"/>
    <xf numFmtId="0" fontId="1" fillId="8" borderId="6" xfId="0" applyFont="1" applyFill="1" applyBorder="1"/>
    <xf numFmtId="0" fontId="0" fillId="0" borderId="26" xfId="0" applyBorder="1" applyAlignment="1">
      <alignment horizontal="left"/>
    </xf>
    <xf numFmtId="0" fontId="0" fillId="8" borderId="1" xfId="0" applyFill="1" applyBorder="1"/>
    <xf numFmtId="0" fontId="0" fillId="9" borderId="1" xfId="0" applyFill="1" applyBorder="1"/>
    <xf numFmtId="0" fontId="1" fillId="0" borderId="0" xfId="0" applyFont="1"/>
    <xf numFmtId="0" fontId="1" fillId="9" borderId="1" xfId="0" applyFont="1" applyFill="1" applyBorder="1"/>
    <xf numFmtId="0" fontId="1" fillId="9" borderId="34" xfId="0" applyFont="1" applyFill="1" applyBorder="1" applyAlignment="1">
      <alignment horizontal="left" vertical="top"/>
    </xf>
    <xf numFmtId="0" fontId="1" fillId="9" borderId="31" xfId="0" applyFont="1" applyFill="1" applyBorder="1" applyAlignment="1">
      <alignment horizontal="left" vertical="top"/>
    </xf>
    <xf numFmtId="0" fontId="1" fillId="9" borderId="1" xfId="0" applyFont="1" applyFill="1" applyBorder="1" applyAlignment="1">
      <alignment horizontal="left" vertical="top"/>
    </xf>
    <xf numFmtId="0" fontId="0" fillId="11" borderId="52" xfId="0" applyFill="1" applyBorder="1" applyAlignment="1">
      <alignment horizontal="left"/>
    </xf>
    <xf numFmtId="0" fontId="0" fillId="11" borderId="9" xfId="0" applyFill="1" applyBorder="1" applyAlignment="1">
      <alignment horizontal="left"/>
    </xf>
    <xf numFmtId="0" fontId="0" fillId="11" borderId="14" xfId="0" applyFill="1" applyBorder="1" applyAlignment="1">
      <alignment horizontal="left"/>
    </xf>
    <xf numFmtId="0" fontId="0" fillId="11" borderId="35" xfId="0" applyFill="1" applyBorder="1" applyAlignment="1">
      <alignment horizontal="left" vertical="top" wrapText="1"/>
    </xf>
    <xf numFmtId="0" fontId="0" fillId="11" borderId="15" xfId="0" applyFill="1" applyBorder="1" applyAlignment="1">
      <alignment horizontal="left" vertical="top" wrapText="1"/>
    </xf>
    <xf numFmtId="0" fontId="0" fillId="11" borderId="16" xfId="0" applyFill="1" applyBorder="1" applyAlignment="1">
      <alignment horizontal="left" vertical="top" wrapText="1"/>
    </xf>
    <xf numFmtId="0" fontId="0" fillId="11" borderId="38" xfId="0" applyFill="1" applyBorder="1" applyAlignment="1">
      <alignment horizontal="left" vertical="top" wrapText="1"/>
    </xf>
    <xf numFmtId="0" fontId="0" fillId="11" borderId="39" xfId="0" applyFill="1" applyBorder="1" applyAlignment="1">
      <alignment horizontal="left" vertical="top" wrapText="1"/>
    </xf>
    <xf numFmtId="0" fontId="0" fillId="11" borderId="40" xfId="0" applyFill="1" applyBorder="1" applyAlignment="1">
      <alignment horizontal="left" vertical="top" wrapText="1"/>
    </xf>
    <xf numFmtId="0" fontId="0" fillId="11" borderId="1" xfId="0" applyFont="1" applyFill="1" applyBorder="1" applyAlignment="1">
      <alignment horizontal="left"/>
    </xf>
    <xf numFmtId="0" fontId="0" fillId="11" borderId="1"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Apect</a:t>
            </a:r>
            <a:r>
              <a:rPr lang="en-US" baseline="0"/>
              <a:t> Ratio vs Shear Strength - Experimental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Experimental Data</c:v>
          </c:tx>
          <c:spPr>
            <a:ln w="38100" cap="rnd">
              <a:noFill/>
              <a:round/>
            </a:ln>
            <a:effectLst/>
          </c:spPr>
          <c:marker>
            <c:symbol val="circle"/>
            <c:size val="5"/>
            <c:spPr>
              <a:solidFill>
                <a:schemeClr val="dk1">
                  <a:tint val="88500"/>
                </a:schemeClr>
              </a:solidFill>
              <a:ln w="9525">
                <a:solidFill>
                  <a:schemeClr val="dk1">
                    <a:tint val="88500"/>
                  </a:schemeClr>
                </a:solidFill>
              </a:ln>
              <a:effectLst/>
            </c:spPr>
          </c:marker>
          <c:trendline>
            <c:spPr>
              <a:ln w="19050" cap="rnd">
                <a:solidFill>
                  <a:schemeClr val="dk1">
                    <a:tint val="88500"/>
                  </a:schemeClr>
                </a:solidFill>
                <a:prstDash val="sysDot"/>
              </a:ln>
              <a:effectLst/>
            </c:spPr>
            <c:trendlineType val="linear"/>
            <c:dispRSqr val="0"/>
            <c:dispEq val="0"/>
          </c:trendline>
          <c:trendline>
            <c:spPr>
              <a:ln w="19050" cap="rnd">
                <a:solidFill>
                  <a:schemeClr val="dk1">
                    <a:tint val="88500"/>
                  </a:schemeClr>
                </a:solidFill>
                <a:prstDash val="sysDot"/>
              </a:ln>
              <a:effectLst/>
            </c:spPr>
            <c:trendlineType val="linear"/>
            <c:dispRSqr val="0"/>
            <c:dispEq val="0"/>
          </c:trendline>
          <c:trendline>
            <c:name>Shear Strength (kN) (Linear Regression)</c:name>
            <c:spPr>
              <a:ln w="19050" cap="rnd">
                <a:solidFill>
                  <a:schemeClr val="dk1">
                    <a:tint val="88500"/>
                  </a:schemeClr>
                </a:solidFill>
                <a:prstDash val="sysDot"/>
              </a:ln>
              <a:effectLst/>
            </c:spPr>
            <c:trendlineType val="linear"/>
            <c:dispRSqr val="1"/>
            <c:dispEq val="1"/>
            <c:trendlineLbl>
              <c:layout>
                <c:manualLayout>
                  <c:x val="2.0304899387576552E-2"/>
                  <c:y val="-0.234897564887722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'Problem 4'!$D$11:$D$17</c:f>
              <c:numCache>
                <c:formatCode>General</c:formatCode>
                <c:ptCount val="7"/>
                <c:pt idx="0">
                  <c:v>0.5</c:v>
                </c:pt>
                <c:pt idx="1">
                  <c:v>0.7</c:v>
                </c:pt>
                <c:pt idx="2">
                  <c:v>0.9</c:v>
                </c:pt>
                <c:pt idx="3">
                  <c:v>1.1000000000000001</c:v>
                </c:pt>
                <c:pt idx="4">
                  <c:v>1.3</c:v>
                </c:pt>
                <c:pt idx="5">
                  <c:v>1.5</c:v>
                </c:pt>
                <c:pt idx="6">
                  <c:v>1.7</c:v>
                </c:pt>
              </c:numCache>
            </c:numRef>
          </c:xVal>
          <c:yVal>
            <c:numRef>
              <c:f>'Problem 4'!$E$11:$E$17</c:f>
              <c:numCache>
                <c:formatCode>General</c:formatCode>
                <c:ptCount val="7"/>
                <c:pt idx="0">
                  <c:v>300</c:v>
                </c:pt>
                <c:pt idx="1">
                  <c:v>237</c:v>
                </c:pt>
                <c:pt idx="2">
                  <c:v>232</c:v>
                </c:pt>
                <c:pt idx="3">
                  <c:v>195</c:v>
                </c:pt>
                <c:pt idx="4">
                  <c:v>125</c:v>
                </c:pt>
                <c:pt idx="5">
                  <c:v>119</c:v>
                </c:pt>
                <c:pt idx="6">
                  <c:v>135</c:v>
                </c:pt>
              </c:numCache>
            </c:numRef>
          </c:yVal>
          <c:smooth val="0"/>
          <c:extLst>
            <c:ext xmlns:c16="http://schemas.microsoft.com/office/drawing/2014/chart" uri="{C3380CC4-5D6E-409C-BE32-E72D297353CC}">
              <c16:uniqueId val="{00000000-A886-42D5-9354-B865E9BE0DD0}"/>
            </c:ext>
          </c:extLst>
        </c:ser>
        <c:dLbls>
          <c:showLegendKey val="0"/>
          <c:showVal val="0"/>
          <c:showCatName val="0"/>
          <c:showSerName val="0"/>
          <c:showPercent val="0"/>
          <c:showBubbleSize val="0"/>
        </c:dLbls>
        <c:axId val="1527031855"/>
        <c:axId val="1527029935"/>
      </c:scatterChart>
      <c:valAx>
        <c:axId val="1527031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Aspect</a:t>
                </a:r>
                <a:r>
                  <a:rPr lang="en-US" baseline="0"/>
                  <a:t> Ratio (h/L)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29935"/>
        <c:crosses val="autoZero"/>
        <c:crossBetween val="midCat"/>
      </c:valAx>
      <c:valAx>
        <c:axId val="1527029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a:t>
                </a:r>
                <a:r>
                  <a:rPr lang="en-US" baseline="0"/>
                  <a:t> Strength (kN)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31855"/>
        <c:crosses val="autoZero"/>
        <c:crossBetween val="midCat"/>
      </c:valAx>
      <c:spPr>
        <a:noFill/>
        <a:ln>
          <a:noFill/>
        </a:ln>
        <a:effectLst/>
      </c:spPr>
    </c:plotArea>
    <c:legend>
      <c:legendPos val="b"/>
      <c:legendEntry>
        <c:idx val="1"/>
        <c:delete val="1"/>
      </c:legendEntry>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238125</xdr:colOff>
      <xdr:row>28</xdr:row>
      <xdr:rowOff>109537</xdr:rowOff>
    </xdr:from>
    <xdr:to>
      <xdr:col>7</xdr:col>
      <xdr:colOff>57150</xdr:colOff>
      <xdr:row>42</xdr:row>
      <xdr:rowOff>185737</xdr:rowOff>
    </xdr:to>
    <xdr:graphicFrame macro="">
      <xdr:nvGraphicFramePr>
        <xdr:cNvPr id="2" name="Chart 1">
          <a:extLst>
            <a:ext uri="{FF2B5EF4-FFF2-40B4-BE49-F238E27FC236}">
              <a16:creationId xmlns:a16="http://schemas.microsoft.com/office/drawing/2014/main" id="{760F1623-1E66-3DCC-1CFA-411F3F789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1E72-F371-4FA9-BDE9-F34271D35939}">
  <dimension ref="A1:BJ36"/>
  <sheetViews>
    <sheetView workbookViewId="0">
      <selection activeCell="M31" sqref="M31"/>
    </sheetView>
  </sheetViews>
  <sheetFormatPr defaultRowHeight="15" x14ac:dyDescent="0.25"/>
  <cols>
    <col min="1" max="1" width="15.85546875" bestFit="1" customWidth="1"/>
    <col min="5" max="5" width="11.28515625" customWidth="1"/>
    <col min="7" max="7" width="11.28515625" customWidth="1"/>
    <col min="8" max="8" width="9" customWidth="1"/>
    <col min="9" max="9" width="11.42578125" customWidth="1"/>
    <col min="11" max="11" width="10.42578125" customWidth="1"/>
    <col min="12" max="12" width="11" bestFit="1" customWidth="1"/>
  </cols>
  <sheetData>
    <row r="1" spans="1:62" x14ac:dyDescent="0.25">
      <c r="A1" s="137" t="s">
        <v>44</v>
      </c>
      <c r="B1" s="138" t="s">
        <v>48</v>
      </c>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9"/>
    </row>
    <row r="2" spans="1:62" x14ac:dyDescent="0.25">
      <c r="A2" s="140" t="s">
        <v>45</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2"/>
    </row>
    <row r="3" spans="1:62" ht="14.25" customHeight="1" x14ac:dyDescent="0.25">
      <c r="A3" s="143" t="s">
        <v>47</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2"/>
    </row>
    <row r="4" spans="1:62" ht="15.75" thickBot="1" x14ac:dyDescent="0.3">
      <c r="A4" s="144" t="s">
        <v>46</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6"/>
    </row>
    <row r="5" spans="1:62" ht="14.25" customHeight="1" x14ac:dyDescent="0.25"/>
    <row r="6" spans="1:62" ht="15.75" thickBot="1" x14ac:dyDescent="0.3"/>
    <row r="7" spans="1:62" ht="29.25" thickBot="1" x14ac:dyDescent="0.5">
      <c r="B7" s="119" t="s">
        <v>0</v>
      </c>
      <c r="C7" s="120"/>
      <c r="D7" s="120"/>
      <c r="E7" s="120"/>
      <c r="F7" s="120"/>
      <c r="G7" s="120"/>
      <c r="H7" s="120"/>
      <c r="I7" s="120"/>
      <c r="J7" s="120"/>
      <c r="K7" s="120"/>
      <c r="L7" s="120"/>
      <c r="M7" s="120"/>
      <c r="N7" s="121"/>
    </row>
    <row r="8" spans="1:62" x14ac:dyDescent="0.25">
      <c r="B8" s="84" t="s">
        <v>21</v>
      </c>
      <c r="C8" s="85"/>
      <c r="D8" s="85"/>
      <c r="E8" s="85"/>
      <c r="F8" s="85"/>
      <c r="G8" s="85"/>
      <c r="H8" s="85"/>
      <c r="I8" s="85"/>
      <c r="J8" s="85"/>
      <c r="K8" s="85"/>
      <c r="L8" s="85"/>
      <c r="M8" s="85"/>
      <c r="N8" s="86"/>
      <c r="O8" s="66" t="e" vm="1">
        <v>#VALUE!</v>
      </c>
      <c r="P8" s="66"/>
      <c r="Q8" s="105" t="e" vm="2">
        <v>#VALUE!</v>
      </c>
      <c r="R8" s="105"/>
      <c r="S8" s="105"/>
      <c r="T8" s="105"/>
    </row>
    <row r="9" spans="1:62" x14ac:dyDescent="0.25">
      <c r="B9" s="87"/>
      <c r="C9" s="88"/>
      <c r="D9" s="88"/>
      <c r="E9" s="88"/>
      <c r="F9" s="88"/>
      <c r="G9" s="88"/>
      <c r="H9" s="88"/>
      <c r="I9" s="88"/>
      <c r="J9" s="88"/>
      <c r="K9" s="88"/>
      <c r="L9" s="88"/>
      <c r="M9" s="88"/>
      <c r="N9" s="89"/>
      <c r="O9" s="66"/>
      <c r="P9" s="66"/>
      <c r="Q9" s="105"/>
      <c r="R9" s="105"/>
      <c r="S9" s="105"/>
      <c r="T9" s="105"/>
    </row>
    <row r="10" spans="1:62" x14ac:dyDescent="0.25">
      <c r="B10" s="90" t="s">
        <v>4</v>
      </c>
      <c r="C10" s="91"/>
      <c r="D10" s="91"/>
      <c r="E10" s="91"/>
      <c r="F10" s="91"/>
      <c r="G10" s="91"/>
      <c r="H10" s="91"/>
      <c r="I10" s="91"/>
      <c r="J10" s="91"/>
      <c r="K10" s="91"/>
      <c r="L10" s="91"/>
      <c r="M10" s="91"/>
      <c r="N10" s="92"/>
      <c r="O10" s="66"/>
      <c r="P10" s="66"/>
      <c r="Q10" s="105"/>
      <c r="R10" s="105"/>
      <c r="S10" s="105"/>
      <c r="T10" s="105"/>
    </row>
    <row r="11" spans="1:62" x14ac:dyDescent="0.25">
      <c r="B11" s="90"/>
      <c r="C11" s="91"/>
      <c r="D11" s="91"/>
      <c r="E11" s="91"/>
      <c r="F11" s="91"/>
      <c r="G11" s="91"/>
      <c r="H11" s="91"/>
      <c r="I11" s="91"/>
      <c r="J11" s="91"/>
      <c r="K11" s="91"/>
      <c r="L11" s="91"/>
      <c r="M11" s="91"/>
      <c r="N11" s="92"/>
      <c r="O11" s="66" t="s">
        <v>3</v>
      </c>
      <c r="P11" s="66"/>
      <c r="Q11" s="105"/>
      <c r="R11" s="105"/>
      <c r="S11" s="105"/>
      <c r="T11" s="105"/>
    </row>
    <row r="12" spans="1:62" ht="15.75" thickBot="1" x14ac:dyDescent="0.3">
      <c r="B12" s="93"/>
      <c r="C12" s="94"/>
      <c r="D12" s="94"/>
      <c r="E12" s="94"/>
      <c r="F12" s="94"/>
      <c r="G12" s="94"/>
      <c r="H12" s="94"/>
      <c r="I12" s="94"/>
      <c r="J12" s="94"/>
      <c r="K12" s="94"/>
      <c r="L12" s="94"/>
      <c r="M12" s="94"/>
      <c r="N12" s="95"/>
      <c r="Q12" s="105"/>
      <c r="R12" s="105"/>
      <c r="S12" s="105"/>
      <c r="T12" s="105"/>
    </row>
    <row r="13" spans="1:62" x14ac:dyDescent="0.25">
      <c r="R13" s="41" t="s">
        <v>2</v>
      </c>
      <c r="S13" s="41"/>
    </row>
    <row r="14" spans="1:62" ht="15.75" thickBot="1" x14ac:dyDescent="0.3"/>
    <row r="15" spans="1:62" ht="29.25" thickBot="1" x14ac:dyDescent="0.5">
      <c r="B15" s="126" t="s">
        <v>1</v>
      </c>
      <c r="C15" s="125"/>
      <c r="D15" s="125"/>
      <c r="E15" s="125"/>
      <c r="F15" s="125"/>
      <c r="G15" s="125"/>
      <c r="H15" s="125"/>
      <c r="I15" s="125"/>
      <c r="J15" s="125"/>
      <c r="K15" s="125"/>
      <c r="L15" s="125"/>
      <c r="M15" s="125"/>
      <c r="N15" s="127"/>
    </row>
    <row r="16" spans="1:62" ht="15.75" thickBot="1" x14ac:dyDescent="0.3">
      <c r="B16" s="103" t="s">
        <v>5</v>
      </c>
      <c r="C16" s="104"/>
      <c r="D16" s="104"/>
      <c r="E16" s="104"/>
      <c r="F16" s="104"/>
      <c r="G16" s="104"/>
      <c r="H16" s="104"/>
      <c r="I16" s="104"/>
      <c r="J16" s="104"/>
      <c r="K16" s="104"/>
      <c r="L16" s="104"/>
      <c r="M16" s="104"/>
      <c r="N16" s="118"/>
    </row>
    <row r="18" spans="2:14" ht="15.75" thickBot="1" x14ac:dyDescent="0.3"/>
    <row r="19" spans="2:14" ht="29.25" thickBot="1" x14ac:dyDescent="0.5">
      <c r="B19" s="126" t="s">
        <v>6</v>
      </c>
      <c r="C19" s="125"/>
      <c r="D19" s="125"/>
      <c r="E19" s="125"/>
      <c r="F19" s="125"/>
      <c r="G19" s="125"/>
      <c r="H19" s="125"/>
      <c r="I19" s="125"/>
      <c r="J19" s="125"/>
      <c r="K19" s="125"/>
      <c r="L19" s="125"/>
      <c r="M19" s="125"/>
      <c r="N19" s="127"/>
    </row>
    <row r="20" spans="2:14" ht="15.75" thickBot="1" x14ac:dyDescent="0.3"/>
    <row r="21" spans="2:14" ht="15.75" thickBot="1" x14ac:dyDescent="0.3">
      <c r="D21" s="128" t="s">
        <v>8</v>
      </c>
      <c r="E21" s="129"/>
      <c r="F21" s="130"/>
      <c r="G21" s="10">
        <v>0.3</v>
      </c>
      <c r="I21" s="3" t="s">
        <v>19</v>
      </c>
      <c r="J21" s="67">
        <f>IFERROR( MAX(E35:E36), "No Real Solution Found" )</f>
        <v>0.10464021985718698</v>
      </c>
      <c r="K21" s="68"/>
    </row>
    <row r="22" spans="2:14" x14ac:dyDescent="0.25">
      <c r="D22" s="131" t="s">
        <v>9</v>
      </c>
      <c r="E22" s="132"/>
      <c r="F22" s="133"/>
      <c r="G22" s="11">
        <v>0.6</v>
      </c>
    </row>
    <row r="23" spans="2:14" x14ac:dyDescent="0.25">
      <c r="D23" s="131" t="s">
        <v>10</v>
      </c>
      <c r="E23" s="132"/>
      <c r="F23" s="133"/>
      <c r="G23" s="11">
        <v>0.9</v>
      </c>
    </row>
    <row r="24" spans="2:14" x14ac:dyDescent="0.25">
      <c r="D24" s="131" t="s">
        <v>11</v>
      </c>
      <c r="E24" s="132"/>
      <c r="F24" s="133"/>
      <c r="G24" s="11">
        <v>42000</v>
      </c>
    </row>
    <row r="25" spans="2:14" x14ac:dyDescent="0.25">
      <c r="D25" s="131" t="s">
        <v>12</v>
      </c>
      <c r="E25" s="132"/>
      <c r="F25" s="133"/>
      <c r="G25" s="12">
        <v>2000</v>
      </c>
    </row>
    <row r="26" spans="2:14" ht="15.75" thickBot="1" x14ac:dyDescent="0.3">
      <c r="D26" s="134" t="s">
        <v>16</v>
      </c>
      <c r="E26" s="135"/>
      <c r="F26" s="136"/>
      <c r="G26" s="13">
        <v>125</v>
      </c>
    </row>
    <row r="29" spans="2:14" ht="15.75" thickBot="1" x14ac:dyDescent="0.3"/>
    <row r="30" spans="2:14" x14ac:dyDescent="0.25">
      <c r="D30" s="39" t="s">
        <v>20</v>
      </c>
      <c r="E30" s="40"/>
    </row>
    <row r="31" spans="2:14" x14ac:dyDescent="0.25">
      <c r="D31" s="69" t="s">
        <v>13</v>
      </c>
      <c r="E31" s="70"/>
    </row>
    <row r="32" spans="2:14" x14ac:dyDescent="0.25">
      <c r="D32" s="4" t="s">
        <v>14</v>
      </c>
      <c r="E32" s="5">
        <f>(G23*(G24^2)*G21*(G22^2)) / (1.7*G25)</f>
        <v>50429.647058823532</v>
      </c>
    </row>
    <row r="33" spans="4:5" x14ac:dyDescent="0.25">
      <c r="D33" s="4" t="s">
        <v>7</v>
      </c>
      <c r="E33" s="5">
        <f>-(G23*G24*G21*(G22^2))</f>
        <v>-4082.3999999999996</v>
      </c>
    </row>
    <row r="34" spans="4:5" ht="15" customHeight="1" x14ac:dyDescent="0.25">
      <c r="D34" s="6" t="s">
        <v>15</v>
      </c>
      <c r="E34" s="5">
        <f>-G26</f>
        <v>-125</v>
      </c>
    </row>
    <row r="35" spans="4:5" ht="15" customHeight="1" x14ac:dyDescent="0.25">
      <c r="D35" s="7" t="s">
        <v>17</v>
      </c>
      <c r="E35" s="5">
        <f>(-E33+SQRT((E33^2)-(4*E32*E34))) / (2*E32)</f>
        <v>0.10464021985718698</v>
      </c>
    </row>
    <row r="36" spans="4:5" ht="15.75" customHeight="1" thickBot="1" x14ac:dyDescent="0.3">
      <c r="D36" s="8" t="s">
        <v>18</v>
      </c>
      <c r="E36" s="9">
        <f>(-E33-SQRT((E33^2)-(4*E32*E34))) / (2*E32)</f>
        <v>-2.3687838904806035E-2</v>
      </c>
    </row>
  </sheetData>
  <mergeCells count="15">
    <mergeCell ref="D31:E31"/>
    <mergeCell ref="D22:F22"/>
    <mergeCell ref="D23:F23"/>
    <mergeCell ref="D24:F24"/>
    <mergeCell ref="D25:F25"/>
    <mergeCell ref="D26:F26"/>
    <mergeCell ref="Q8:T12"/>
    <mergeCell ref="O8:P10"/>
    <mergeCell ref="D21:F21"/>
    <mergeCell ref="B7:N7"/>
    <mergeCell ref="B1:BJ4"/>
    <mergeCell ref="J21:K21"/>
    <mergeCell ref="O11:P11"/>
    <mergeCell ref="B10:N12"/>
    <mergeCell ref="B8:N9"/>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DF1CD-74B1-4770-8AEF-D86B54FA87E6}">
  <dimension ref="A1:BJ38"/>
  <sheetViews>
    <sheetView workbookViewId="0">
      <selection activeCell="B15" sqref="B15:N15"/>
    </sheetView>
  </sheetViews>
  <sheetFormatPr defaultRowHeight="15" x14ac:dyDescent="0.25"/>
  <cols>
    <col min="1" max="1" width="15.85546875" bestFit="1" customWidth="1"/>
    <col min="3" max="3" width="10.42578125" bestFit="1" customWidth="1"/>
    <col min="4" max="4" width="11.85546875" customWidth="1"/>
    <col min="8" max="9" width="9" customWidth="1"/>
    <col min="14" max="14" width="9" customWidth="1"/>
    <col min="15" max="15" width="15.28515625" customWidth="1"/>
  </cols>
  <sheetData>
    <row r="1" spans="1:62" x14ac:dyDescent="0.25">
      <c r="A1" s="137" t="s">
        <v>44</v>
      </c>
      <c r="B1" s="138" t="s">
        <v>49</v>
      </c>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9"/>
    </row>
    <row r="2" spans="1:62" x14ac:dyDescent="0.25">
      <c r="A2" s="140" t="s">
        <v>45</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2"/>
    </row>
    <row r="3" spans="1:62" x14ac:dyDescent="0.25">
      <c r="A3" s="143" t="s">
        <v>47</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2"/>
    </row>
    <row r="4" spans="1:62" ht="15.75" thickBot="1" x14ac:dyDescent="0.3">
      <c r="A4" s="144" t="s">
        <v>46</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6"/>
    </row>
    <row r="6" spans="1:62" ht="15.75" thickBot="1" x14ac:dyDescent="0.3"/>
    <row r="7" spans="1:62" ht="29.25" thickBot="1" x14ac:dyDescent="0.5">
      <c r="B7" s="119" t="s">
        <v>0</v>
      </c>
      <c r="C7" s="120"/>
      <c r="D7" s="120"/>
      <c r="E7" s="120"/>
      <c r="F7" s="120"/>
      <c r="G7" s="120"/>
      <c r="H7" s="120"/>
      <c r="I7" s="120"/>
      <c r="J7" s="120"/>
      <c r="K7" s="120"/>
      <c r="L7" s="120"/>
      <c r="M7" s="120"/>
      <c r="N7" s="121"/>
      <c r="P7" s="83" t="e" vm="3">
        <v>#VALUE!</v>
      </c>
      <c r="Q7" s="83"/>
      <c r="R7" s="83"/>
    </row>
    <row r="8" spans="1:62" ht="16.5" customHeight="1" thickBot="1" x14ac:dyDescent="0.3">
      <c r="B8" s="106" t="s">
        <v>24</v>
      </c>
      <c r="C8" s="107"/>
      <c r="D8" s="107"/>
      <c r="E8" s="107"/>
      <c r="F8" s="107"/>
      <c r="G8" s="107"/>
      <c r="H8" s="107"/>
      <c r="I8" s="107"/>
      <c r="J8" s="107"/>
      <c r="K8" s="107"/>
      <c r="L8" s="107"/>
      <c r="M8" s="107"/>
      <c r="N8" s="108"/>
      <c r="P8" s="83"/>
      <c r="Q8" s="83"/>
      <c r="R8" s="83"/>
    </row>
    <row r="9" spans="1:62" x14ac:dyDescent="0.25">
      <c r="B9" s="1"/>
      <c r="C9" s="1"/>
      <c r="D9" s="1"/>
      <c r="E9" s="1"/>
      <c r="F9" s="1"/>
      <c r="G9" s="1"/>
      <c r="K9" s="1"/>
      <c r="L9" s="1"/>
      <c r="M9" s="1"/>
      <c r="N9" s="1"/>
      <c r="P9" s="83" t="s">
        <v>23</v>
      </c>
      <c r="Q9" s="83"/>
      <c r="R9" s="83"/>
    </row>
    <row r="10" spans="1:62" ht="15.75" thickBot="1" x14ac:dyDescent="0.3">
      <c r="K10" s="1"/>
    </row>
    <row r="11" spans="1:62" ht="29.25" thickBot="1" x14ac:dyDescent="0.5">
      <c r="B11" s="119" t="s">
        <v>1</v>
      </c>
      <c r="C11" s="120"/>
      <c r="D11" s="120"/>
      <c r="E11" s="120"/>
      <c r="F11" s="120"/>
      <c r="G11" s="120"/>
      <c r="H11" s="120"/>
      <c r="I11" s="120"/>
      <c r="J11" s="120"/>
      <c r="K11" s="120"/>
      <c r="L11" s="120"/>
      <c r="M11" s="120"/>
      <c r="N11" s="121"/>
    </row>
    <row r="12" spans="1:62" ht="16.5" customHeight="1" thickBot="1" x14ac:dyDescent="0.3">
      <c r="B12" s="109" t="s">
        <v>22</v>
      </c>
      <c r="C12" s="110"/>
      <c r="D12" s="110"/>
      <c r="E12" s="110"/>
      <c r="F12" s="110"/>
      <c r="G12" s="110"/>
      <c r="H12" s="110"/>
      <c r="I12" s="110"/>
      <c r="J12" s="110"/>
      <c r="K12" s="110"/>
      <c r="L12" s="110"/>
      <c r="M12" s="110"/>
      <c r="N12" s="111"/>
    </row>
    <row r="14" spans="1:62" ht="15.75" thickBot="1" x14ac:dyDescent="0.3"/>
    <row r="15" spans="1:62" ht="29.25" thickBot="1" x14ac:dyDescent="0.5">
      <c r="B15" s="122" t="s">
        <v>6</v>
      </c>
      <c r="C15" s="123"/>
      <c r="D15" s="123"/>
      <c r="E15" s="123"/>
      <c r="F15" s="123"/>
      <c r="G15" s="123"/>
      <c r="H15" s="123"/>
      <c r="I15" s="123"/>
      <c r="J15" s="123"/>
      <c r="K15" s="123"/>
      <c r="L15" s="123"/>
      <c r="M15" s="123"/>
      <c r="N15" s="124"/>
    </row>
    <row r="16" spans="1:62" ht="29.25" thickBot="1" x14ac:dyDescent="0.5">
      <c r="B16" s="2"/>
    </row>
    <row r="17" spans="2:15" ht="15.75" thickBot="1" x14ac:dyDescent="0.3">
      <c r="B17" s="25" t="s">
        <v>25</v>
      </c>
      <c r="C17" s="26" t="s">
        <v>26</v>
      </c>
      <c r="D17" s="27" t="s">
        <v>34</v>
      </c>
      <c r="G17" s="25" t="s">
        <v>27</v>
      </c>
      <c r="H17" s="26" t="s">
        <v>14</v>
      </c>
      <c r="I17" s="26" t="s">
        <v>7</v>
      </c>
      <c r="J17" s="26" t="s">
        <v>28</v>
      </c>
      <c r="K17" s="26" t="s">
        <v>29</v>
      </c>
      <c r="L17" s="26" t="s">
        <v>30</v>
      </c>
      <c r="M17" s="26" t="s">
        <v>31</v>
      </c>
      <c r="N17" s="26" t="s">
        <v>32</v>
      </c>
      <c r="O17" s="27" t="s">
        <v>35</v>
      </c>
    </row>
    <row r="18" spans="2:15" x14ac:dyDescent="0.25">
      <c r="B18" s="22">
        <v>-10</v>
      </c>
      <c r="C18" s="23">
        <f xml:space="preserve"> (B18^3)/(10) - EXP(SIN(2*B18)) + 5</f>
        <v>-95.40134043340575</v>
      </c>
      <c r="D18" s="28" t="str">
        <f>IF(C18=0, "Zero", IF(C18&gt;0, "Positive", "Negative"))</f>
        <v>Negative</v>
      </c>
      <c r="G18" s="22">
        <v>1</v>
      </c>
      <c r="H18" s="23">
        <f>B24</f>
        <v>-4</v>
      </c>
      <c r="I18" s="24">
        <f>B25</f>
        <v>-3</v>
      </c>
      <c r="J18" s="23">
        <f>(H18+I18)/2</f>
        <v>-3.5</v>
      </c>
      <c r="K18" s="24">
        <f xml:space="preserve"> (J18^3)/(10) - EXP(SIN(2*J18)) + 5</f>
        <v>0.19408883601900495</v>
      </c>
      <c r="L18" s="23">
        <f>IF( K18&gt;0, H18, J18)</f>
        <v>-4</v>
      </c>
      <c r="M18" s="24">
        <f>IF( K18&lt;0, I18, J18)</f>
        <v>-3.5</v>
      </c>
      <c r="N18" s="23">
        <f>ABS(M18-L18)</f>
        <v>0.5</v>
      </c>
      <c r="O18" s="28" t="str">
        <f>IF(ROUND(N18, 3) = 0, "YES", "No")</f>
        <v>No</v>
      </c>
    </row>
    <row r="19" spans="2:15" x14ac:dyDescent="0.25">
      <c r="B19" s="14">
        <v>-9</v>
      </c>
      <c r="C19" s="18">
        <f t="shared" ref="C19:C38" si="0" xml:space="preserve"> (B19^3)/(10) - EXP(SIN(2*B19)) + 5</f>
        <v>-70.019091050057895</v>
      </c>
      <c r="D19" s="15" t="str">
        <f t="shared" ref="D19:D38" si="1">IF(C19=0, "Zero", IF(C19&gt;0, "Positive", "Negative"))</f>
        <v>Negative</v>
      </c>
      <c r="G19" s="14">
        <v>2</v>
      </c>
      <c r="H19" s="18">
        <f>L18</f>
        <v>-4</v>
      </c>
      <c r="I19" s="19">
        <f>M18</f>
        <v>-3.5</v>
      </c>
      <c r="J19" s="18">
        <f t="shared" ref="J19:J26" si="2">(H19+I19)/2</f>
        <v>-3.75</v>
      </c>
      <c r="K19" s="19">
        <f t="shared" ref="K19:K28" si="3" xml:space="preserve"> (J19^3)/(10) - EXP(SIN(2*J19)) + 5</f>
        <v>-0.6648473818966032</v>
      </c>
      <c r="L19" s="18">
        <f t="shared" ref="L19:L26" si="4">IF( K19&gt;0, H19, J19)</f>
        <v>-3.75</v>
      </c>
      <c r="M19" s="19">
        <f t="shared" ref="M19:M26" si="5">IF( K19&lt;0, I19, J19)</f>
        <v>-3.5</v>
      </c>
      <c r="N19" s="18">
        <f t="shared" ref="N19:N26" si="6">ABS(M19-L19)</f>
        <v>0.25</v>
      </c>
      <c r="O19" s="15" t="str">
        <f t="shared" ref="O19:O28" si="7">IF(ROUND(N19, 3) = 0, "YES", "No")</f>
        <v>No</v>
      </c>
    </row>
    <row r="20" spans="2:15" x14ac:dyDescent="0.25">
      <c r="B20" s="14">
        <v>-8</v>
      </c>
      <c r="C20" s="18">
        <f t="shared" si="0"/>
        <v>-47.533628358252791</v>
      </c>
      <c r="D20" s="15" t="str">
        <f t="shared" si="1"/>
        <v>Negative</v>
      </c>
      <c r="G20" s="14">
        <v>3</v>
      </c>
      <c r="H20" s="18">
        <f t="shared" ref="H20:H26" si="8">L19</f>
        <v>-3.75</v>
      </c>
      <c r="I20" s="19">
        <f t="shared" ref="I20:I26" si="9">M19</f>
        <v>-3.5</v>
      </c>
      <c r="J20" s="18">
        <f t="shared" si="2"/>
        <v>-3.625</v>
      </c>
      <c r="K20" s="19">
        <f t="shared" si="3"/>
        <v>-0.20255338846868032</v>
      </c>
      <c r="L20" s="18">
        <f t="shared" si="4"/>
        <v>-3.625</v>
      </c>
      <c r="M20" s="19">
        <f t="shared" si="5"/>
        <v>-3.5</v>
      </c>
      <c r="N20" s="18">
        <f t="shared" si="6"/>
        <v>0.125</v>
      </c>
      <c r="O20" s="15" t="str">
        <f t="shared" si="7"/>
        <v>No</v>
      </c>
    </row>
    <row r="21" spans="2:15" x14ac:dyDescent="0.25">
      <c r="B21" s="14">
        <v>-7</v>
      </c>
      <c r="C21" s="18">
        <f t="shared" si="0"/>
        <v>-29.671351080322573</v>
      </c>
      <c r="D21" s="15" t="str">
        <f t="shared" si="1"/>
        <v>Negative</v>
      </c>
      <c r="G21" s="14">
        <v>4</v>
      </c>
      <c r="H21" s="18">
        <f t="shared" si="8"/>
        <v>-3.625</v>
      </c>
      <c r="I21" s="19">
        <f t="shared" si="9"/>
        <v>-3.5</v>
      </c>
      <c r="J21" s="18">
        <f t="shared" si="2"/>
        <v>-3.5625</v>
      </c>
      <c r="K21" s="19">
        <f t="shared" si="3"/>
        <v>4.3570623787729801E-3</v>
      </c>
      <c r="L21" s="18">
        <f t="shared" si="4"/>
        <v>-3.625</v>
      </c>
      <c r="M21" s="19">
        <f t="shared" si="5"/>
        <v>-3.5625</v>
      </c>
      <c r="N21" s="18">
        <f t="shared" si="6"/>
        <v>6.25E-2</v>
      </c>
      <c r="O21" s="15" t="str">
        <f t="shared" si="7"/>
        <v>No</v>
      </c>
    </row>
    <row r="22" spans="2:15" x14ac:dyDescent="0.25">
      <c r="B22" s="14">
        <v>-6</v>
      </c>
      <c r="C22" s="18">
        <f t="shared" si="0"/>
        <v>-18.310136031611247</v>
      </c>
      <c r="D22" s="15" t="str">
        <f t="shared" si="1"/>
        <v>Negative</v>
      </c>
      <c r="G22" s="14">
        <v>5</v>
      </c>
      <c r="H22" s="18">
        <f t="shared" si="8"/>
        <v>-3.625</v>
      </c>
      <c r="I22" s="19">
        <f t="shared" si="9"/>
        <v>-3.5625</v>
      </c>
      <c r="J22" s="18">
        <f t="shared" si="2"/>
        <v>-3.59375</v>
      </c>
      <c r="K22" s="19">
        <f t="shared" si="3"/>
        <v>-9.7005214040022381E-2</v>
      </c>
      <c r="L22" s="18">
        <f t="shared" si="4"/>
        <v>-3.59375</v>
      </c>
      <c r="M22" s="19">
        <f t="shared" si="5"/>
        <v>-3.5625</v>
      </c>
      <c r="N22" s="18">
        <f t="shared" si="6"/>
        <v>3.125E-2</v>
      </c>
      <c r="O22" s="15" t="str">
        <f t="shared" si="7"/>
        <v>No</v>
      </c>
    </row>
    <row r="23" spans="2:15" ht="15.75" thickBot="1" x14ac:dyDescent="0.3">
      <c r="B23" s="29">
        <v>-5</v>
      </c>
      <c r="C23" s="30">
        <f t="shared" si="0"/>
        <v>-9.222921008021757</v>
      </c>
      <c r="D23" s="31" t="str">
        <f t="shared" si="1"/>
        <v>Negative</v>
      </c>
      <c r="G23" s="14">
        <v>6</v>
      </c>
      <c r="H23" s="18">
        <f t="shared" si="8"/>
        <v>-3.59375</v>
      </c>
      <c r="I23" s="19">
        <f t="shared" si="9"/>
        <v>-3.5625</v>
      </c>
      <c r="J23" s="18">
        <f t="shared" si="2"/>
        <v>-3.578125</v>
      </c>
      <c r="K23" s="19">
        <f t="shared" si="3"/>
        <v>-4.5794424430812164E-2</v>
      </c>
      <c r="L23" s="18">
        <f t="shared" si="4"/>
        <v>-3.578125</v>
      </c>
      <c r="M23" s="19">
        <f t="shared" si="5"/>
        <v>-3.5625</v>
      </c>
      <c r="N23" s="18">
        <f t="shared" si="6"/>
        <v>1.5625E-2</v>
      </c>
      <c r="O23" s="15" t="str">
        <f t="shared" si="7"/>
        <v>No</v>
      </c>
    </row>
    <row r="24" spans="2:15" x14ac:dyDescent="0.25">
      <c r="B24" s="32">
        <v>-4</v>
      </c>
      <c r="C24" s="33">
        <f t="shared" si="0"/>
        <v>-1.7718152281509996</v>
      </c>
      <c r="D24" s="34" t="str">
        <f t="shared" si="1"/>
        <v>Negative</v>
      </c>
      <c r="G24" s="14">
        <v>7</v>
      </c>
      <c r="H24" s="18">
        <f t="shared" si="8"/>
        <v>-3.578125</v>
      </c>
      <c r="I24" s="19">
        <f t="shared" si="9"/>
        <v>-3.5625</v>
      </c>
      <c r="J24" s="18">
        <f t="shared" si="2"/>
        <v>-3.5703125</v>
      </c>
      <c r="K24" s="19">
        <f t="shared" si="3"/>
        <v>-2.058543162701465E-2</v>
      </c>
      <c r="L24" s="18">
        <f t="shared" si="4"/>
        <v>-3.5703125</v>
      </c>
      <c r="M24" s="19">
        <f t="shared" si="5"/>
        <v>-3.5625</v>
      </c>
      <c r="N24" s="18">
        <f t="shared" si="6"/>
        <v>7.8125E-3</v>
      </c>
      <c r="O24" s="15" t="str">
        <f t="shared" si="7"/>
        <v>No</v>
      </c>
    </row>
    <row r="25" spans="2:15" ht="15.75" thickBot="1" x14ac:dyDescent="0.3">
      <c r="B25" s="35">
        <v>-3</v>
      </c>
      <c r="C25" s="36">
        <f t="shared" si="0"/>
        <v>0.97764333344636611</v>
      </c>
      <c r="D25" s="37" t="str">
        <f t="shared" si="1"/>
        <v>Positive</v>
      </c>
      <c r="G25" s="14">
        <v>8</v>
      </c>
      <c r="H25" s="18">
        <f t="shared" si="8"/>
        <v>-3.5703125</v>
      </c>
      <c r="I25" s="19">
        <f t="shared" si="9"/>
        <v>-3.5625</v>
      </c>
      <c r="J25" s="18">
        <f t="shared" si="2"/>
        <v>-3.56640625</v>
      </c>
      <c r="K25" s="19">
        <f t="shared" si="3"/>
        <v>-8.0807655858459171E-3</v>
      </c>
      <c r="L25" s="18">
        <f t="shared" si="4"/>
        <v>-3.56640625</v>
      </c>
      <c r="M25" s="19">
        <f t="shared" si="5"/>
        <v>-3.5625</v>
      </c>
      <c r="N25" s="18">
        <f t="shared" si="6"/>
        <v>3.90625E-3</v>
      </c>
      <c r="O25" s="15" t="str">
        <f t="shared" si="7"/>
        <v>No</v>
      </c>
    </row>
    <row r="26" spans="2:15" x14ac:dyDescent="0.25">
      <c r="B26" s="22">
        <v>-2</v>
      </c>
      <c r="C26" s="23">
        <f t="shared" si="0"/>
        <v>2.0685500084855981</v>
      </c>
      <c r="D26" s="28" t="str">
        <f t="shared" si="1"/>
        <v>Positive</v>
      </c>
      <c r="G26" s="14">
        <v>9</v>
      </c>
      <c r="H26" s="18">
        <f t="shared" si="8"/>
        <v>-3.56640625</v>
      </c>
      <c r="I26" s="19">
        <f t="shared" si="9"/>
        <v>-3.5625</v>
      </c>
      <c r="J26" s="18">
        <f t="shared" si="2"/>
        <v>-3.564453125</v>
      </c>
      <c r="K26" s="19">
        <f t="shared" si="3"/>
        <v>-1.8534833772898551E-3</v>
      </c>
      <c r="L26" s="18">
        <f t="shared" si="4"/>
        <v>-3.564453125</v>
      </c>
      <c r="M26" s="19">
        <f t="shared" si="5"/>
        <v>-3.5625</v>
      </c>
      <c r="N26" s="18">
        <f t="shared" si="6"/>
        <v>1.953125E-3</v>
      </c>
      <c r="O26" s="15" t="str">
        <f t="shared" si="7"/>
        <v>No</v>
      </c>
    </row>
    <row r="27" spans="2:15" x14ac:dyDescent="0.25">
      <c r="B27" s="14">
        <v>-1</v>
      </c>
      <c r="C27" s="18">
        <f t="shared" si="0"/>
        <v>4.4971928738764717</v>
      </c>
      <c r="D27" s="15" t="str">
        <f t="shared" si="1"/>
        <v>Positive</v>
      </c>
      <c r="G27" s="14">
        <v>10</v>
      </c>
      <c r="H27" s="18">
        <f t="shared" ref="H27:H28" si="10">L26</f>
        <v>-3.564453125</v>
      </c>
      <c r="I27" s="19">
        <f t="shared" ref="I27:I28" si="11">M26</f>
        <v>-3.5625</v>
      </c>
      <c r="J27" s="18">
        <f t="shared" ref="J27:J28" si="12">(H27+I27)/2</f>
        <v>-3.5634765625</v>
      </c>
      <c r="K27" s="19">
        <f t="shared" si="3"/>
        <v>1.2538832487400953E-3</v>
      </c>
      <c r="L27" s="18">
        <f t="shared" ref="L27:L28" si="13">IF( K27&gt;0, H27, J27)</f>
        <v>-3.564453125</v>
      </c>
      <c r="M27" s="19">
        <f t="shared" ref="M27:M28" si="14">IF( K27&lt;0, I27, J27)</f>
        <v>-3.5634765625</v>
      </c>
      <c r="N27" s="18">
        <f t="shared" ref="N27:N28" si="15">ABS(M27-L27)</f>
        <v>9.765625E-4</v>
      </c>
      <c r="O27" s="15" t="str">
        <f t="shared" si="7"/>
        <v>No</v>
      </c>
    </row>
    <row r="28" spans="2:15" ht="15.75" thickBot="1" x14ac:dyDescent="0.3">
      <c r="B28" s="14">
        <v>0</v>
      </c>
      <c r="C28" s="18">
        <f t="shared" si="0"/>
        <v>4</v>
      </c>
      <c r="D28" s="15" t="str">
        <f t="shared" si="1"/>
        <v>Positive</v>
      </c>
      <c r="G28" s="16">
        <v>11</v>
      </c>
      <c r="H28" s="20">
        <f t="shared" si="10"/>
        <v>-3.564453125</v>
      </c>
      <c r="I28" s="21">
        <f t="shared" si="11"/>
        <v>-3.5634765625</v>
      </c>
      <c r="J28" s="20">
        <f t="shared" si="12"/>
        <v>-3.56396484375</v>
      </c>
      <c r="K28" s="21">
        <f t="shared" si="3"/>
        <v>-2.9927683906549873E-4</v>
      </c>
      <c r="L28" s="20">
        <f t="shared" si="13"/>
        <v>-3.56396484375</v>
      </c>
      <c r="M28" s="21">
        <f t="shared" si="14"/>
        <v>-3.5634765625</v>
      </c>
      <c r="N28" s="38">
        <f t="shared" si="15"/>
        <v>4.8828125E-4</v>
      </c>
      <c r="O28" s="37" t="str">
        <f t="shared" si="7"/>
        <v>YES</v>
      </c>
    </row>
    <row r="29" spans="2:15" x14ac:dyDescent="0.25">
      <c r="B29" s="14">
        <v>1</v>
      </c>
      <c r="C29" s="18">
        <f t="shared" si="0"/>
        <v>2.6174222719849993</v>
      </c>
      <c r="D29" s="15" t="str">
        <f t="shared" si="1"/>
        <v>Positive</v>
      </c>
    </row>
    <row r="30" spans="2:15" x14ac:dyDescent="0.25">
      <c r="B30" s="14">
        <v>2</v>
      </c>
      <c r="C30" s="18">
        <f t="shared" si="0"/>
        <v>5.3308358141259991</v>
      </c>
      <c r="D30" s="15" t="str">
        <f t="shared" si="1"/>
        <v>Positive</v>
      </c>
    </row>
    <row r="31" spans="2:15" ht="15.75" thickBot="1" x14ac:dyDescent="0.3">
      <c r="B31" s="14">
        <v>3</v>
      </c>
      <c r="C31" s="18">
        <f t="shared" si="0"/>
        <v>6.9437743724571455</v>
      </c>
      <c r="D31" s="15" t="str">
        <f t="shared" si="1"/>
        <v>Positive</v>
      </c>
    </row>
    <row r="32" spans="2:15" ht="14.25" customHeight="1" x14ac:dyDescent="0.25">
      <c r="B32" s="14">
        <v>4</v>
      </c>
      <c r="C32" s="18">
        <f t="shared" si="0"/>
        <v>8.7104920823902159</v>
      </c>
      <c r="D32" s="15" t="str">
        <f t="shared" si="1"/>
        <v>Positive</v>
      </c>
      <c r="H32" s="71" t="s">
        <v>33</v>
      </c>
      <c r="I32" s="72"/>
      <c r="J32" s="77">
        <f>AVERAGE(L28:M28)</f>
        <v>-3.563720703125</v>
      </c>
      <c r="K32" s="78"/>
    </row>
    <row r="33" spans="2:11" x14ac:dyDescent="0.25">
      <c r="B33" s="14">
        <v>5</v>
      </c>
      <c r="C33" s="18">
        <f t="shared" si="0"/>
        <v>16.919590337952759</v>
      </c>
      <c r="D33" s="15" t="str">
        <f t="shared" si="1"/>
        <v>Positive</v>
      </c>
      <c r="H33" s="73"/>
      <c r="I33" s="74"/>
      <c r="J33" s="79"/>
      <c r="K33" s="80"/>
    </row>
    <row r="34" spans="2:11" ht="15.75" thickBot="1" x14ac:dyDescent="0.3">
      <c r="B34" s="14">
        <v>6</v>
      </c>
      <c r="C34" s="18">
        <f t="shared" si="0"/>
        <v>26.015251195509972</v>
      </c>
      <c r="D34" s="15" t="str">
        <f t="shared" si="1"/>
        <v>Positive</v>
      </c>
      <c r="H34" s="75"/>
      <c r="I34" s="76"/>
      <c r="J34" s="81"/>
      <c r="K34" s="82"/>
    </row>
    <row r="35" spans="2:11" x14ac:dyDescent="0.25">
      <c r="B35" s="14">
        <v>7</v>
      </c>
      <c r="C35" s="18">
        <f t="shared" si="0"/>
        <v>36.607130494594664</v>
      </c>
      <c r="D35" s="15" t="str">
        <f t="shared" si="1"/>
        <v>Positive</v>
      </c>
    </row>
    <row r="36" spans="2:11" x14ac:dyDescent="0.25">
      <c r="B36" s="14">
        <v>8</v>
      </c>
      <c r="C36" s="18">
        <f t="shared" si="0"/>
        <v>55.450165914805446</v>
      </c>
      <c r="D36" s="15" t="str">
        <f t="shared" si="1"/>
        <v>Positive</v>
      </c>
    </row>
    <row r="37" spans="2:11" x14ac:dyDescent="0.25">
      <c r="B37" s="14">
        <v>9</v>
      </c>
      <c r="C37" s="18">
        <f t="shared" si="0"/>
        <v>77.428099559491471</v>
      </c>
      <c r="D37" s="15" t="str">
        <f t="shared" si="1"/>
        <v>Positive</v>
      </c>
    </row>
    <row r="38" spans="2:11" ht="15.75" thickBot="1" x14ac:dyDescent="0.3">
      <c r="B38" s="16">
        <v>10</v>
      </c>
      <c r="C38" s="20">
        <f t="shared" si="0"/>
        <v>102.50834972814958</v>
      </c>
      <c r="D38" s="17" t="str">
        <f t="shared" si="1"/>
        <v>Positive</v>
      </c>
    </row>
  </sheetData>
  <mergeCells count="10">
    <mergeCell ref="B1:BJ4"/>
    <mergeCell ref="P7:R8"/>
    <mergeCell ref="P9:R9"/>
    <mergeCell ref="H32:I34"/>
    <mergeCell ref="J32:K34"/>
    <mergeCell ref="B7:N7"/>
    <mergeCell ref="B8:N8"/>
    <mergeCell ref="B11:N11"/>
    <mergeCell ref="B12:N12"/>
    <mergeCell ref="B15:N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9C8C-9AE2-49D6-84F5-A7B12AE21E8B}">
  <dimension ref="A1:BJ27"/>
  <sheetViews>
    <sheetView workbookViewId="0">
      <selection activeCell="B12" sqref="B12:G12"/>
    </sheetView>
  </sheetViews>
  <sheetFormatPr defaultRowHeight="15" x14ac:dyDescent="0.25"/>
  <cols>
    <col min="1" max="1" width="15.85546875" bestFit="1" customWidth="1"/>
  </cols>
  <sheetData>
    <row r="1" spans="1:62" x14ac:dyDescent="0.25">
      <c r="A1" s="137" t="s">
        <v>44</v>
      </c>
      <c r="B1" s="138" t="s">
        <v>50</v>
      </c>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9"/>
    </row>
    <row r="2" spans="1:62" x14ac:dyDescent="0.25">
      <c r="A2" s="140" t="s">
        <v>45</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2"/>
    </row>
    <row r="3" spans="1:62" x14ac:dyDescent="0.25">
      <c r="A3" s="143" t="s">
        <v>47</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2"/>
    </row>
    <row r="4" spans="1:62" ht="15.75" thickBot="1" x14ac:dyDescent="0.3">
      <c r="A4" s="144" t="s">
        <v>46</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6"/>
    </row>
    <row r="6" spans="1:62" ht="15.75" thickBot="1" x14ac:dyDescent="0.3"/>
    <row r="7" spans="1:62" ht="29.25" thickBot="1" x14ac:dyDescent="0.5">
      <c r="B7" s="119" t="s">
        <v>0</v>
      </c>
      <c r="C7" s="120"/>
      <c r="D7" s="120"/>
      <c r="E7" s="120"/>
      <c r="F7" s="120"/>
      <c r="G7" s="121"/>
    </row>
    <row r="8" spans="1:62" ht="15" customHeight="1" x14ac:dyDescent="0.25">
      <c r="B8" s="90" t="s">
        <v>36</v>
      </c>
      <c r="C8" s="91"/>
      <c r="D8" s="91"/>
      <c r="E8" s="91"/>
      <c r="F8" s="91"/>
      <c r="G8" s="92"/>
      <c r="I8" s="66" t="e" vm="4">
        <v>#VALUE!</v>
      </c>
      <c r="J8" s="66"/>
      <c r="K8" s="66"/>
      <c r="L8" s="66"/>
      <c r="M8" s="66"/>
      <c r="O8" s="66" t="e" vm="5">
        <v>#VALUE!</v>
      </c>
      <c r="P8" s="66"/>
      <c r="Q8" s="66"/>
      <c r="R8" s="66"/>
      <c r="S8" s="66"/>
    </row>
    <row r="9" spans="1:62" ht="15.75" thickBot="1" x14ac:dyDescent="0.3">
      <c r="B9" s="93"/>
      <c r="C9" s="94"/>
      <c r="D9" s="94"/>
      <c r="E9" s="94"/>
      <c r="F9" s="94"/>
      <c r="G9" s="95"/>
      <c r="I9" s="66"/>
      <c r="J9" s="66"/>
      <c r="K9" s="66"/>
      <c r="L9" s="66"/>
      <c r="M9" s="66"/>
      <c r="O9" s="66"/>
      <c r="P9" s="66"/>
      <c r="Q9" s="66"/>
      <c r="R9" s="66"/>
      <c r="S9" s="66"/>
    </row>
    <row r="10" spans="1:62" x14ac:dyDescent="0.25">
      <c r="I10" s="66"/>
      <c r="J10" s="66"/>
      <c r="K10" s="66"/>
      <c r="L10" s="66"/>
      <c r="M10" s="66"/>
      <c r="O10" s="66"/>
      <c r="P10" s="66"/>
      <c r="Q10" s="66"/>
      <c r="R10" s="66"/>
      <c r="S10" s="66"/>
    </row>
    <row r="11" spans="1:62" ht="15.75" thickBot="1" x14ac:dyDescent="0.3">
      <c r="I11" s="66"/>
      <c r="J11" s="66"/>
      <c r="K11" s="66"/>
      <c r="L11" s="66"/>
      <c r="M11" s="66"/>
      <c r="O11" s="66"/>
      <c r="P11" s="66"/>
      <c r="Q11" s="66"/>
      <c r="R11" s="66"/>
      <c r="S11" s="66"/>
    </row>
    <row r="12" spans="1:62" ht="29.25" thickBot="1" x14ac:dyDescent="0.5">
      <c r="B12" s="119" t="s">
        <v>1</v>
      </c>
      <c r="C12" s="120"/>
      <c r="D12" s="120"/>
      <c r="E12" s="120"/>
      <c r="F12" s="120"/>
      <c r="G12" s="121"/>
      <c r="I12" s="66"/>
      <c r="J12" s="66"/>
      <c r="K12" s="66"/>
      <c r="L12" s="66"/>
      <c r="M12" s="66"/>
      <c r="O12" s="66"/>
      <c r="P12" s="66"/>
      <c r="Q12" s="66"/>
      <c r="R12" s="66"/>
      <c r="S12" s="66"/>
    </row>
    <row r="13" spans="1:62" ht="15.75" thickBot="1" x14ac:dyDescent="0.3">
      <c r="B13" s="112" t="s">
        <v>39</v>
      </c>
      <c r="C13" s="113"/>
      <c r="D13" s="113"/>
      <c r="E13" s="113"/>
      <c r="F13" s="113"/>
      <c r="G13" s="114"/>
      <c r="I13" s="66"/>
      <c r="J13" s="66"/>
      <c r="K13" s="66"/>
      <c r="L13" s="66"/>
      <c r="M13" s="66"/>
      <c r="O13" s="66"/>
      <c r="P13" s="66"/>
      <c r="Q13" s="66"/>
      <c r="R13" s="66"/>
      <c r="S13" s="66"/>
    </row>
    <row r="14" spans="1:62" x14ac:dyDescent="0.25">
      <c r="J14" s="66" t="s">
        <v>38</v>
      </c>
      <c r="K14" s="66"/>
      <c r="L14" s="66"/>
      <c r="P14" s="66" t="s">
        <v>37</v>
      </c>
      <c r="Q14" s="66"/>
      <c r="R14" s="66"/>
    </row>
    <row r="15" spans="1:62" ht="15.75" thickBot="1" x14ac:dyDescent="0.3"/>
    <row r="16" spans="1:62" ht="29.25" thickBot="1" x14ac:dyDescent="0.5">
      <c r="B16" s="119" t="s">
        <v>6</v>
      </c>
      <c r="C16" s="120"/>
      <c r="D16" s="120"/>
      <c r="E16" s="120"/>
      <c r="F16" s="120"/>
      <c r="G16" s="120"/>
      <c r="H16" s="120"/>
      <c r="I16" s="120"/>
      <c r="J16" s="120"/>
      <c r="K16" s="120"/>
      <c r="L16" s="120"/>
      <c r="M16" s="120"/>
      <c r="N16" s="120"/>
      <c r="O16" s="120"/>
      <c r="P16" s="120"/>
      <c r="Q16" s="121"/>
    </row>
    <row r="17" spans="2:17" ht="15.75" thickBot="1" x14ac:dyDescent="0.3"/>
    <row r="18" spans="2:17" ht="21" x14ac:dyDescent="0.35">
      <c r="B18" s="115"/>
      <c r="C18" s="116" t="s">
        <v>40</v>
      </c>
      <c r="D18" s="116"/>
      <c r="E18" s="116"/>
      <c r="F18" s="116"/>
      <c r="G18" s="116"/>
      <c r="H18" s="96"/>
      <c r="K18" s="115"/>
      <c r="L18" s="116" t="s">
        <v>41</v>
      </c>
      <c r="M18" s="116"/>
      <c r="N18" s="116"/>
      <c r="O18" s="116"/>
      <c r="P18" s="116"/>
      <c r="Q18" s="96"/>
    </row>
    <row r="19" spans="2:17" x14ac:dyDescent="0.25">
      <c r="B19" s="117"/>
      <c r="C19" s="46"/>
      <c r="D19" s="46"/>
      <c r="E19" s="46"/>
      <c r="F19" s="46"/>
      <c r="G19" s="46"/>
      <c r="H19" s="99"/>
      <c r="K19" s="117"/>
      <c r="L19" s="46"/>
      <c r="M19" s="46"/>
      <c r="N19" s="46"/>
      <c r="O19" s="46"/>
      <c r="P19" s="46"/>
      <c r="Q19" s="99"/>
    </row>
    <row r="20" spans="2:17" x14ac:dyDescent="0.25">
      <c r="B20" s="117" t="s">
        <v>42</v>
      </c>
      <c r="C20" s="42">
        <v>-29</v>
      </c>
      <c r="D20" s="43">
        <v>92</v>
      </c>
      <c r="E20" s="44">
        <v>66</v>
      </c>
      <c r="F20" s="46"/>
      <c r="G20" s="54">
        <v>695</v>
      </c>
      <c r="H20" s="99"/>
      <c r="K20" s="117" t="s">
        <v>42</v>
      </c>
      <c r="L20" s="42">
        <v>43</v>
      </c>
      <c r="M20" s="43">
        <v>-8</v>
      </c>
      <c r="N20" s="44">
        <v>18</v>
      </c>
      <c r="O20" s="46"/>
      <c r="P20" s="54">
        <v>-65</v>
      </c>
      <c r="Q20" s="99"/>
    </row>
    <row r="21" spans="2:17" x14ac:dyDescent="0.25">
      <c r="B21" s="117"/>
      <c r="C21" s="45">
        <v>74</v>
      </c>
      <c r="D21" s="46">
        <v>34</v>
      </c>
      <c r="E21" s="47">
        <v>-5</v>
      </c>
      <c r="F21" s="46"/>
      <c r="G21" s="55">
        <v>-525</v>
      </c>
      <c r="H21" s="99"/>
      <c r="K21" s="117"/>
      <c r="L21" s="45">
        <v>53</v>
      </c>
      <c r="M21" s="46">
        <v>-33</v>
      </c>
      <c r="N21" s="47">
        <v>86</v>
      </c>
      <c r="O21" s="46"/>
      <c r="P21" s="55">
        <v>-132</v>
      </c>
      <c r="Q21" s="99"/>
    </row>
    <row r="22" spans="2:17" x14ac:dyDescent="0.25">
      <c r="B22" s="117"/>
      <c r="C22" s="48">
        <v>48</v>
      </c>
      <c r="D22" s="49">
        <v>17</v>
      </c>
      <c r="E22" s="50">
        <v>51</v>
      </c>
      <c r="F22" s="46"/>
      <c r="G22" s="56">
        <v>-415</v>
      </c>
      <c r="H22" s="99"/>
      <c r="K22" s="117"/>
      <c r="L22" s="48">
        <v>-94</v>
      </c>
      <c r="M22" s="49">
        <v>2</v>
      </c>
      <c r="N22" s="50">
        <v>-11</v>
      </c>
      <c r="O22" s="46"/>
      <c r="P22" s="56">
        <v>93</v>
      </c>
      <c r="Q22" s="99"/>
    </row>
    <row r="23" spans="2:17" ht="15.75" thickBot="1" x14ac:dyDescent="0.3">
      <c r="B23" s="117"/>
      <c r="C23" s="46"/>
      <c r="D23" s="46"/>
      <c r="E23" s="46"/>
      <c r="F23" s="46"/>
      <c r="G23" s="46"/>
      <c r="H23" s="99"/>
      <c r="K23" s="117"/>
      <c r="L23" s="46"/>
      <c r="M23" s="46"/>
      <c r="N23" s="46"/>
      <c r="O23" s="46"/>
      <c r="P23" s="46"/>
      <c r="Q23" s="99"/>
    </row>
    <row r="24" spans="2:17" x14ac:dyDescent="0.25">
      <c r="B24" s="117" t="s">
        <v>43</v>
      </c>
      <c r="C24" s="57" cm="1">
        <f t="array" ref="C24:E26">MINVERSE(C20:E22)</f>
        <v>-4.0718745173183388E-3</v>
      </c>
      <c r="D24" s="58">
        <v>7.9915294265126263E-3</v>
      </c>
      <c r="E24" s="59">
        <v>6.052967946579872E-3</v>
      </c>
      <c r="F24" s="46"/>
      <c r="G24" s="51" cm="1">
        <f t="array" ref="G24:G26">MMULT(C24:E26, G20:G22)</f>
        <v>-9.5374874362860211</v>
      </c>
      <c r="H24" s="99" t="s">
        <v>6</v>
      </c>
      <c r="K24" s="117" t="s">
        <v>43</v>
      </c>
      <c r="L24" s="42" cm="1">
        <f t="array" ref="L24:N26">MINVERSE(L20:N22)</f>
        <v>1.3363184775764377E-2</v>
      </c>
      <c r="M24" s="43">
        <v>-3.6381445462813997E-3</v>
      </c>
      <c r="N24" s="44">
        <v>-6.5766459105855964E-3</v>
      </c>
      <c r="O24" s="46"/>
      <c r="P24" s="51" cm="1">
        <f t="array" ref="P24:P26">MMULT(_xlfn.ANCHORARRAY(L24),P20:P22)</f>
        <v>-1.0000000000000002</v>
      </c>
      <c r="Q24" s="99" t="s">
        <v>6</v>
      </c>
    </row>
    <row r="25" spans="2:17" x14ac:dyDescent="0.25">
      <c r="B25" s="117"/>
      <c r="C25" s="60">
        <v>8.9854339266167184E-3</v>
      </c>
      <c r="D25" s="61">
        <v>1.0402419396359714E-2</v>
      </c>
      <c r="E25" s="62">
        <v>-1.0608363572056958E-2</v>
      </c>
      <c r="F25" s="46"/>
      <c r="G25" s="52">
        <v>5.186077278313407</v>
      </c>
      <c r="H25" s="99"/>
      <c r="K25" s="117"/>
      <c r="L25" s="45">
        <v>-0.52480235080109194</v>
      </c>
      <c r="M25" s="46">
        <v>8.5286503883019782E-2</v>
      </c>
      <c r="N25" s="47">
        <v>-0.19198208913454154</v>
      </c>
      <c r="O25" s="46"/>
      <c r="P25" s="52">
        <v>5</v>
      </c>
      <c r="Q25" s="99"/>
    </row>
    <row r="26" spans="2:17" ht="15.75" thickBot="1" x14ac:dyDescent="0.3">
      <c r="B26" s="117"/>
      <c r="C26" s="63">
        <v>8.3720784468227548E-4</v>
      </c>
      <c r="D26" s="64">
        <v>-1.0988912592367082E-2</v>
      </c>
      <c r="E26" s="65">
        <v>1.7447053319394792E-2</v>
      </c>
      <c r="F26" s="46"/>
      <c r="G26" s="53">
        <v>-0.88948856450193947</v>
      </c>
      <c r="H26" s="99"/>
      <c r="K26" s="117"/>
      <c r="L26" s="48">
        <v>-0.20961309732036684</v>
      </c>
      <c r="M26" s="49">
        <v>4.6596235919681012E-2</v>
      </c>
      <c r="N26" s="50">
        <v>-6.9614496606730636E-2</v>
      </c>
      <c r="O26" s="46"/>
      <c r="P26" s="53">
        <v>1.0000000000000018</v>
      </c>
      <c r="Q26" s="99"/>
    </row>
    <row r="27" spans="2:17" ht="15.75" thickBot="1" x14ac:dyDescent="0.3">
      <c r="B27" s="100"/>
      <c r="C27" s="101"/>
      <c r="D27" s="101"/>
      <c r="E27" s="101"/>
      <c r="F27" s="101"/>
      <c r="G27" s="101"/>
      <c r="H27" s="102"/>
      <c r="K27" s="100"/>
      <c r="L27" s="101"/>
      <c r="M27" s="101"/>
      <c r="N27" s="101"/>
      <c r="O27" s="101"/>
      <c r="P27" s="101"/>
      <c r="Q27" s="102"/>
    </row>
  </sheetData>
  <mergeCells count="12">
    <mergeCell ref="I8:M13"/>
    <mergeCell ref="B8:G9"/>
    <mergeCell ref="J14:L14"/>
    <mergeCell ref="C18:G18"/>
    <mergeCell ref="L18:P18"/>
    <mergeCell ref="B7:G7"/>
    <mergeCell ref="B12:G12"/>
    <mergeCell ref="B13:G13"/>
    <mergeCell ref="B16:Q16"/>
    <mergeCell ref="B1:BJ4"/>
    <mergeCell ref="O8:S13"/>
    <mergeCell ref="P14:R1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0B098-2508-47FB-B09D-3CAF7D60B5CA}">
  <dimension ref="A1:BJ53"/>
  <sheetViews>
    <sheetView tabSelected="1" workbookViewId="0">
      <selection activeCell="O37" sqref="O37"/>
    </sheetView>
  </sheetViews>
  <sheetFormatPr defaultRowHeight="15" x14ac:dyDescent="0.25"/>
  <cols>
    <col min="1" max="1" width="15.85546875" bestFit="1" customWidth="1"/>
    <col min="2" max="2" width="9.85546875" bestFit="1" customWidth="1"/>
    <col min="4" max="4" width="16.5703125" bestFit="1" customWidth="1"/>
    <col min="5" max="5" width="18.140625" bestFit="1" customWidth="1"/>
    <col min="9" max="9" width="9.28515625" bestFit="1" customWidth="1"/>
  </cols>
  <sheetData>
    <row r="1" spans="1:62" x14ac:dyDescent="0.25">
      <c r="A1" s="137" t="s">
        <v>44</v>
      </c>
      <c r="B1" s="138" t="s">
        <v>51</v>
      </c>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9"/>
    </row>
    <row r="2" spans="1:62" x14ac:dyDescent="0.25">
      <c r="A2" s="140" t="s">
        <v>45</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2"/>
    </row>
    <row r="3" spans="1:62" x14ac:dyDescent="0.25">
      <c r="A3" s="143" t="s">
        <v>47</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2"/>
    </row>
    <row r="4" spans="1:62" ht="15.75" thickBot="1" x14ac:dyDescent="0.3">
      <c r="A4" s="144" t="s">
        <v>46</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6"/>
    </row>
    <row r="6" spans="1:62" ht="15.75" thickBot="1" x14ac:dyDescent="0.3"/>
    <row r="7" spans="1:62" ht="29.25" thickBot="1" x14ac:dyDescent="0.5">
      <c r="B7" s="119" t="s">
        <v>0</v>
      </c>
      <c r="C7" s="120"/>
      <c r="D7" s="120"/>
      <c r="E7" s="120"/>
      <c r="F7" s="120"/>
      <c r="G7" s="120"/>
      <c r="H7" s="120"/>
      <c r="I7" s="120"/>
      <c r="J7" s="120"/>
      <c r="K7" s="120"/>
      <c r="L7" s="120"/>
      <c r="M7" s="120"/>
      <c r="N7" s="121"/>
    </row>
    <row r="8" spans="1:62" x14ac:dyDescent="0.25">
      <c r="B8" s="97" t="s">
        <v>52</v>
      </c>
      <c r="C8" s="98"/>
      <c r="D8" s="98"/>
      <c r="E8" s="98"/>
      <c r="F8" s="98"/>
      <c r="G8" s="98"/>
      <c r="H8" s="98"/>
      <c r="I8" s="98"/>
      <c r="J8" s="98"/>
      <c r="K8" s="98"/>
      <c r="L8" s="98"/>
      <c r="M8" s="98"/>
      <c r="N8" s="162"/>
    </row>
    <row r="9" spans="1:62" x14ac:dyDescent="0.25">
      <c r="B9" s="117"/>
      <c r="C9" s="46"/>
      <c r="D9" s="46"/>
      <c r="E9" s="46"/>
      <c r="F9" s="46"/>
      <c r="G9" s="46"/>
      <c r="H9" s="46"/>
      <c r="I9" s="46"/>
      <c r="J9" s="46"/>
      <c r="K9" s="46"/>
      <c r="L9" s="46"/>
      <c r="M9" s="46"/>
      <c r="N9" s="99"/>
    </row>
    <row r="10" spans="1:62" x14ac:dyDescent="0.25">
      <c r="B10" s="117"/>
      <c r="C10" s="163" t="s">
        <v>53</v>
      </c>
      <c r="D10" s="163" t="s">
        <v>54</v>
      </c>
      <c r="E10" s="163" t="s">
        <v>55</v>
      </c>
      <c r="F10" s="46"/>
      <c r="G10" s="46"/>
      <c r="H10" s="46"/>
      <c r="I10" s="46"/>
      <c r="J10" s="46"/>
      <c r="K10" s="46"/>
      <c r="L10" s="46"/>
      <c r="M10" s="46"/>
      <c r="N10" s="99"/>
    </row>
    <row r="11" spans="1:62" x14ac:dyDescent="0.25">
      <c r="B11" s="117"/>
      <c r="C11" s="164">
        <v>1</v>
      </c>
      <c r="D11" s="164">
        <v>0.5</v>
      </c>
      <c r="E11" s="164">
        <v>300</v>
      </c>
      <c r="F11" s="46"/>
      <c r="G11" s="46"/>
      <c r="H11" s="46"/>
      <c r="I11" s="46"/>
      <c r="J11" s="46"/>
      <c r="K11" s="46"/>
      <c r="L11" s="46"/>
      <c r="M11" s="46"/>
      <c r="N11" s="99"/>
    </row>
    <row r="12" spans="1:62" x14ac:dyDescent="0.25">
      <c r="B12" s="117"/>
      <c r="C12" s="164">
        <v>2</v>
      </c>
      <c r="D12" s="164">
        <v>0.7</v>
      </c>
      <c r="E12" s="164">
        <v>237</v>
      </c>
      <c r="F12" s="46"/>
      <c r="G12" s="46"/>
      <c r="H12" s="46"/>
      <c r="I12" s="46"/>
      <c r="J12" s="46"/>
      <c r="K12" s="46"/>
      <c r="L12" s="46"/>
      <c r="M12" s="46"/>
      <c r="N12" s="99"/>
    </row>
    <row r="13" spans="1:62" x14ac:dyDescent="0.25">
      <c r="B13" s="117"/>
      <c r="C13" s="164">
        <v>3</v>
      </c>
      <c r="D13" s="164">
        <v>0.9</v>
      </c>
      <c r="E13" s="164">
        <v>232</v>
      </c>
      <c r="F13" s="46"/>
      <c r="G13" s="46"/>
      <c r="H13" s="46"/>
      <c r="I13" s="46"/>
      <c r="J13" s="46"/>
      <c r="K13" s="46"/>
      <c r="L13" s="46"/>
      <c r="M13" s="46"/>
      <c r="N13" s="99"/>
    </row>
    <row r="14" spans="1:62" x14ac:dyDescent="0.25">
      <c r="B14" s="117"/>
      <c r="C14" s="164">
        <v>4</v>
      </c>
      <c r="D14" s="164">
        <v>1.1000000000000001</v>
      </c>
      <c r="E14" s="164">
        <v>195</v>
      </c>
      <c r="F14" s="46"/>
      <c r="G14" s="46"/>
      <c r="H14" s="46"/>
      <c r="I14" s="46"/>
      <c r="J14" s="46"/>
      <c r="K14" s="46"/>
      <c r="L14" s="46"/>
      <c r="M14" s="46"/>
      <c r="N14" s="99"/>
    </row>
    <row r="15" spans="1:62" x14ac:dyDescent="0.25">
      <c r="B15" s="117"/>
      <c r="C15" s="164">
        <v>5</v>
      </c>
      <c r="D15" s="164">
        <v>1.3</v>
      </c>
      <c r="E15" s="164">
        <v>125</v>
      </c>
      <c r="F15" s="46"/>
      <c r="G15" s="46"/>
      <c r="H15" s="46"/>
      <c r="I15" s="46"/>
      <c r="J15" s="46"/>
      <c r="K15" s="46"/>
      <c r="L15" s="46"/>
      <c r="M15" s="46"/>
      <c r="N15" s="99"/>
    </row>
    <row r="16" spans="1:62" x14ac:dyDescent="0.25">
      <c r="B16" s="117"/>
      <c r="C16" s="164">
        <v>6</v>
      </c>
      <c r="D16" s="164">
        <v>1.5</v>
      </c>
      <c r="E16" s="164">
        <v>119</v>
      </c>
      <c r="F16" s="46"/>
      <c r="G16" s="46"/>
      <c r="H16" s="46"/>
      <c r="I16" s="46"/>
      <c r="J16" s="46"/>
      <c r="K16" s="46"/>
      <c r="L16" s="46"/>
      <c r="M16" s="46"/>
      <c r="N16" s="99"/>
    </row>
    <row r="17" spans="2:14" x14ac:dyDescent="0.25">
      <c r="B17" s="117"/>
      <c r="C17" s="164">
        <v>7</v>
      </c>
      <c r="D17" s="164">
        <v>1.7</v>
      </c>
      <c r="E17" s="164">
        <v>135</v>
      </c>
      <c r="F17" s="46"/>
      <c r="G17" s="46"/>
      <c r="H17" s="46"/>
      <c r="I17" s="46"/>
      <c r="J17" s="46"/>
      <c r="K17" s="46"/>
      <c r="L17" s="46"/>
      <c r="M17" s="46"/>
      <c r="N17" s="99"/>
    </row>
    <row r="18" spans="2:14" ht="15.75" thickBot="1" x14ac:dyDescent="0.3">
      <c r="B18" s="100"/>
      <c r="C18" s="101"/>
      <c r="D18" s="101"/>
      <c r="E18" s="101"/>
      <c r="F18" s="101"/>
      <c r="G18" s="101"/>
      <c r="H18" s="101"/>
      <c r="I18" s="101"/>
      <c r="J18" s="101"/>
      <c r="K18" s="101"/>
      <c r="L18" s="101"/>
      <c r="M18" s="101"/>
      <c r="N18" s="102"/>
    </row>
    <row r="20" spans="2:14" ht="15.75" thickBot="1" x14ac:dyDescent="0.3"/>
    <row r="21" spans="2:14" ht="29.25" thickBot="1" x14ac:dyDescent="0.5">
      <c r="B21" s="119" t="s">
        <v>1</v>
      </c>
      <c r="C21" s="120"/>
      <c r="D21" s="120"/>
      <c r="E21" s="120"/>
      <c r="F21" s="120"/>
      <c r="G21" s="120"/>
      <c r="H21" s="120"/>
      <c r="I21" s="120"/>
      <c r="J21" s="120"/>
      <c r="K21" s="120"/>
      <c r="L21" s="120"/>
      <c r="M21" s="120"/>
      <c r="N21" s="121"/>
    </row>
    <row r="22" spans="2:14" x14ac:dyDescent="0.25">
      <c r="B22" s="148" t="s">
        <v>56</v>
      </c>
      <c r="C22" s="147"/>
      <c r="D22" s="147"/>
      <c r="E22" s="147"/>
      <c r="F22" s="147"/>
      <c r="G22" s="147"/>
      <c r="H22" s="147"/>
      <c r="I22" s="147"/>
      <c r="J22" s="147"/>
      <c r="K22" s="147"/>
      <c r="L22" s="147"/>
      <c r="M22" s="147"/>
      <c r="N22" s="149"/>
    </row>
    <row r="23" spans="2:14" x14ac:dyDescent="0.25">
      <c r="B23" s="150" t="s">
        <v>57</v>
      </c>
      <c r="C23" s="151"/>
      <c r="D23" s="151"/>
      <c r="E23" s="151"/>
      <c r="F23" s="151"/>
      <c r="G23" s="151"/>
      <c r="H23" s="151"/>
      <c r="I23" s="151"/>
      <c r="J23" s="151"/>
      <c r="K23" s="151"/>
      <c r="L23" s="151"/>
      <c r="M23" s="151"/>
      <c r="N23" s="152"/>
    </row>
    <row r="24" spans="2:14" ht="15.75" thickBot="1" x14ac:dyDescent="0.3">
      <c r="B24" s="153" t="s">
        <v>58</v>
      </c>
      <c r="C24" s="154"/>
      <c r="D24" s="154"/>
      <c r="E24" s="154"/>
      <c r="F24" s="154"/>
      <c r="G24" s="154"/>
      <c r="H24" s="154"/>
      <c r="I24" s="154"/>
      <c r="J24" s="154"/>
      <c r="K24" s="154"/>
      <c r="L24" s="154"/>
      <c r="M24" s="154"/>
      <c r="N24" s="155"/>
    </row>
    <row r="26" spans="2:14" ht="15.75" thickBot="1" x14ac:dyDescent="0.3"/>
    <row r="27" spans="2:14" ht="29.25" thickBot="1" x14ac:dyDescent="0.5">
      <c r="B27" s="122" t="s">
        <v>6</v>
      </c>
      <c r="C27" s="123"/>
      <c r="D27" s="123"/>
      <c r="E27" s="123"/>
      <c r="F27" s="123"/>
      <c r="G27" s="123"/>
      <c r="H27" s="123"/>
      <c r="I27" s="123"/>
      <c r="J27" s="123"/>
      <c r="K27" s="123"/>
      <c r="L27" s="123"/>
      <c r="M27" s="123"/>
      <c r="N27" s="124"/>
    </row>
    <row r="30" spans="2:14" ht="15.75" thickBot="1" x14ac:dyDescent="0.3"/>
    <row r="31" spans="2:14" x14ac:dyDescent="0.25">
      <c r="I31" s="159" t="s">
        <v>59</v>
      </c>
      <c r="J31" s="156">
        <f>SLOPE(E11:E17,D11:D17)</f>
        <v>-149.64285714285711</v>
      </c>
    </row>
    <row r="32" spans="2:14" x14ac:dyDescent="0.25">
      <c r="I32" s="160" t="s">
        <v>60</v>
      </c>
      <c r="J32" s="157">
        <f>INTERCEPT(E11:E17,D11:D17)</f>
        <v>356.46428571428567</v>
      </c>
    </row>
    <row r="33" spans="2:11" ht="15.75" thickBot="1" x14ac:dyDescent="0.3">
      <c r="I33" s="161" t="s">
        <v>61</v>
      </c>
      <c r="J33" s="158">
        <f>RSQ(E11:E17,D11:D17)</f>
        <v>0.88419774973055154</v>
      </c>
    </row>
    <row r="46" spans="2:11" x14ac:dyDescent="0.25">
      <c r="B46" s="166" t="s">
        <v>63</v>
      </c>
      <c r="C46" s="170" t="s">
        <v>64</v>
      </c>
      <c r="D46" s="171"/>
      <c r="E46" s="171"/>
      <c r="F46" s="171"/>
      <c r="G46" s="171"/>
      <c r="H46" s="171"/>
      <c r="I46" s="171"/>
      <c r="J46" s="171"/>
      <c r="K46" s="172"/>
    </row>
    <row r="47" spans="2:11" ht="15" customHeight="1" x14ac:dyDescent="0.25">
      <c r="B47" s="167" t="s">
        <v>62</v>
      </c>
      <c r="C47" s="173" t="s">
        <v>65</v>
      </c>
      <c r="D47" s="174"/>
      <c r="E47" s="174"/>
      <c r="F47" s="174"/>
      <c r="G47" s="174"/>
      <c r="H47" s="174"/>
      <c r="I47" s="174"/>
      <c r="J47" s="174"/>
      <c r="K47" s="175"/>
    </row>
    <row r="48" spans="2:11" x14ac:dyDescent="0.25">
      <c r="B48" s="168"/>
      <c r="C48" s="176"/>
      <c r="D48" s="177"/>
      <c r="E48" s="177"/>
      <c r="F48" s="177"/>
      <c r="G48" s="177"/>
      <c r="H48" s="177"/>
      <c r="I48" s="177"/>
      <c r="J48" s="177"/>
      <c r="K48" s="178"/>
    </row>
    <row r="50" spans="2:11" x14ac:dyDescent="0.25">
      <c r="B50" s="166" t="s">
        <v>63</v>
      </c>
      <c r="C50" s="179" t="s">
        <v>66</v>
      </c>
      <c r="D50" s="179"/>
      <c r="E50" s="179"/>
      <c r="F50" s="179"/>
      <c r="G50" s="179"/>
      <c r="H50" s="179"/>
      <c r="I50" s="179"/>
      <c r="J50" s="179"/>
      <c r="K50" s="179"/>
    </row>
    <row r="51" spans="2:11" ht="15" customHeight="1" x14ac:dyDescent="0.25">
      <c r="B51" s="169" t="s">
        <v>62</v>
      </c>
      <c r="C51" s="180" t="s">
        <v>67</v>
      </c>
      <c r="D51" s="180"/>
      <c r="E51" s="180"/>
      <c r="F51" s="180"/>
      <c r="G51" s="180"/>
      <c r="H51" s="180"/>
      <c r="I51" s="180"/>
      <c r="J51" s="180"/>
      <c r="K51" s="180"/>
    </row>
    <row r="52" spans="2:11" x14ac:dyDescent="0.25">
      <c r="B52" s="169"/>
      <c r="C52" s="180"/>
      <c r="D52" s="180"/>
      <c r="E52" s="180"/>
      <c r="F52" s="180"/>
      <c r="G52" s="180"/>
      <c r="H52" s="180"/>
      <c r="I52" s="180"/>
      <c r="J52" s="180"/>
      <c r="K52" s="180"/>
    </row>
    <row r="53" spans="2:11" x14ac:dyDescent="0.25">
      <c r="D53" s="165"/>
    </row>
  </sheetData>
  <mergeCells count="14">
    <mergeCell ref="C50:K50"/>
    <mergeCell ref="C51:K52"/>
    <mergeCell ref="C47:K48"/>
    <mergeCell ref="B51:B52"/>
    <mergeCell ref="B47:B48"/>
    <mergeCell ref="C46:K46"/>
    <mergeCell ref="B21:N21"/>
    <mergeCell ref="B22:N22"/>
    <mergeCell ref="B23:N23"/>
    <mergeCell ref="B24:N24"/>
    <mergeCell ref="B27:N27"/>
    <mergeCell ref="B1:BJ4"/>
    <mergeCell ref="B7:N7"/>
    <mergeCell ref="B8:N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 1</vt:lpstr>
      <vt:lpstr>Problem 2</vt:lpstr>
      <vt:lpstr>Problem 3</vt:lpstr>
      <vt:lpstr>Problem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Haberkorn, David</dc:creator>
  <cp:lastModifiedBy>David Haberkorn</cp:lastModifiedBy>
  <dcterms:created xsi:type="dcterms:W3CDTF">2025-09-24T17:00:12Z</dcterms:created>
  <dcterms:modified xsi:type="dcterms:W3CDTF">2025-09-24T22:05:10Z</dcterms:modified>
</cp:coreProperties>
</file>