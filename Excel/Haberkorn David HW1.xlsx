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dhaberk1_uwyo_edu/Documents/Classes/Intro to Engineering Problem Solving/"/>
    </mc:Choice>
  </mc:AlternateContent>
  <xr:revisionPtr revIDLastSave="334" documentId="8_{1A747D18-B641-4809-B9D3-D2430F6EBE61}" xr6:coauthVersionLast="47" xr6:coauthVersionMax="47" xr10:uidLastSave="{49FAF7F6-109F-404E-B073-3814684498AE}"/>
  <bookViews>
    <workbookView xWindow="9818" yWindow="0" windowWidth="11865" windowHeight="12863" activeTab="1" xr2:uid="{09CF619D-99E6-4E3D-A67A-EF34A0B73792}"/>
  </bookViews>
  <sheets>
    <sheet name="Problem 1" sheetId="1" r:id="rId1"/>
    <sheet name="Problem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6" i="2" s="1"/>
  <c r="C52" i="2"/>
  <c r="C53" i="2"/>
  <c r="C54" i="2"/>
  <c r="C55" i="2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E63" i="2" s="1"/>
  <c r="C64" i="2"/>
  <c r="C65" i="2"/>
  <c r="C66" i="2"/>
  <c r="C67" i="2"/>
  <c r="E67" i="2" s="1"/>
  <c r="C68" i="2"/>
  <c r="E68" i="2" s="1"/>
  <c r="C69" i="2"/>
  <c r="E69" i="2" s="1"/>
  <c r="C70" i="2"/>
  <c r="E70" i="2" s="1"/>
  <c r="C51" i="2"/>
  <c r="E51" i="2" s="1"/>
  <c r="D51" i="2"/>
  <c r="E66" i="2"/>
  <c r="E52" i="2"/>
  <c r="E53" i="2"/>
  <c r="E54" i="2"/>
  <c r="E55" i="2"/>
  <c r="E56" i="2"/>
  <c r="E57" i="2"/>
  <c r="E58" i="2"/>
  <c r="E59" i="2"/>
  <c r="E60" i="2"/>
  <c r="E62" i="2"/>
  <c r="E64" i="2"/>
  <c r="E65" i="2"/>
  <c r="D64" i="2"/>
  <c r="D65" i="2"/>
  <c r="D66" i="2"/>
  <c r="D52" i="2"/>
  <c r="D53" i="2"/>
  <c r="D54" i="2"/>
  <c r="D55" i="2"/>
  <c r="C21" i="1"/>
  <c r="D21" i="1" s="1"/>
  <c r="C22" i="1"/>
  <c r="D22" i="1" s="1"/>
  <c r="C23" i="1"/>
  <c r="D23" i="1" s="1"/>
  <c r="C24" i="1"/>
  <c r="D24" i="1" s="1"/>
  <c r="C25" i="1"/>
  <c r="D25" i="1" s="1"/>
  <c r="C20" i="1"/>
  <c r="D20" i="1" s="1"/>
  <c r="C20" i="2" l="1"/>
  <c r="C35" i="2"/>
  <c r="D35" i="2" s="1"/>
  <c r="C34" i="2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C26" i="2"/>
  <c r="D26" i="2" s="1"/>
  <c r="C25" i="2"/>
  <c r="D25" i="2" s="1"/>
  <c r="C24" i="2"/>
  <c r="C23" i="2"/>
  <c r="D23" i="2" s="1"/>
  <c r="C22" i="2"/>
  <c r="D22" i="2" s="1"/>
  <c r="C21" i="2"/>
  <c r="D21" i="2" s="1"/>
  <c r="C19" i="2"/>
  <c r="D19" i="2" s="1"/>
  <c r="C18" i="2"/>
  <c r="D18" i="2" s="1"/>
  <c r="C17" i="2"/>
  <c r="D17" i="2" s="1"/>
  <c r="D27" i="2"/>
  <c r="D24" i="2"/>
  <c r="D34" i="2"/>
  <c r="D16" i="2"/>
  <c r="D20" i="2"/>
  <c r="D63" i="2"/>
  <c r="E61" i="2"/>
  <c r="D70" i="2"/>
  <c r="D68" i="2"/>
  <c r="D69" i="2"/>
  <c r="D67" i="2"/>
  <c r="D26" i="1"/>
  <c r="C30" i="1" s="1"/>
</calcChain>
</file>

<file path=xl/sharedStrings.xml><?xml version="1.0" encoding="utf-8"?>
<sst xmlns="http://schemas.openxmlformats.org/spreadsheetml/2006/main" count="35" uniqueCount="29">
  <si>
    <t>Die Side</t>
  </si>
  <si>
    <t>Chance</t>
  </si>
  <si>
    <t>Weight</t>
  </si>
  <si>
    <t>Sum:</t>
  </si>
  <si>
    <t>Expected Value</t>
  </si>
  <si>
    <t>Given:</t>
  </si>
  <si>
    <t>Find:</t>
  </si>
  <si>
    <t>Solution:</t>
  </si>
  <si>
    <t>x^2 + y^2 = 4</t>
  </si>
  <si>
    <t>A circle made of 20 data points following this equation</t>
  </si>
  <si>
    <t>Solution</t>
  </si>
  <si>
    <t>Point</t>
  </si>
  <si>
    <t>x-coord</t>
  </si>
  <si>
    <t>y-coord</t>
  </si>
  <si>
    <t>Angle (degrees)</t>
  </si>
  <si>
    <t>Radius</t>
  </si>
  <si>
    <t>x-disp</t>
  </si>
  <si>
    <t>y-disp</t>
  </si>
  <si>
    <t>Question Responses:</t>
  </si>
  <si>
    <t>20 points is enough only if the application doesn't need high precision. Typically, a circle should be generated using at least 360 points: it follows the 360 degrees of a circle, which is standard. 360 points is still relatively cheap to process, so any less is probably criminal.</t>
  </si>
  <si>
    <t>X_top</t>
  </si>
  <si>
    <t>X-bottom</t>
  </si>
  <si>
    <t>\deltaX</t>
  </si>
  <si>
    <t>Points</t>
  </si>
  <si>
    <t>x</t>
  </si>
  <si>
    <t>y</t>
  </si>
  <si>
    <t>y = \sqrt(4/(-x^2))</t>
  </si>
  <si>
    <t xml:space="preserve">NOTE: It should be 20 points </t>
  </si>
  <si>
    <t>Another way to do it (both easier and better looking) is using sin and cos. I did it with sin and cos before I realized I was asked to do it using a change in x and square roots, so here's the complete version using sin and cos, which looks a lot nicer and is much more intuitive to 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</si>
</sst>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4" xfId="0" applyFill="1" applyBorder="1"/>
    <xf numFmtId="0" fontId="1" fillId="0" borderId="0" xfId="0" applyFont="1"/>
    <xf numFmtId="0" fontId="1" fillId="4" borderId="1" xfId="0" applyFont="1" applyFill="1" applyBorder="1" applyAlignment="1">
      <alignment horizontal="center"/>
    </xf>
    <xf numFmtId="172" fontId="1" fillId="3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Circle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22933997967206E-2"/>
          <c:y val="0.17118037328667249"/>
          <c:w val="0.84306616987860483"/>
          <c:h val="0.700810367454068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'Problem 2'!$E$50</c:f>
              <c:strCache>
                <c:ptCount val="1"/>
                <c:pt idx="0">
                  <c:v>y-coord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'Problem 2'!$D$51:$D$70</c:f>
              <c:numCache>
                <c:formatCode>General</c:formatCode>
                <c:ptCount val="20"/>
                <c:pt idx="0">
                  <c:v>2</c:v>
                </c:pt>
                <c:pt idx="1">
                  <c:v>1.9021130325903071</c:v>
                </c:pt>
                <c:pt idx="2">
                  <c:v>1.6180339887498949</c:v>
                </c:pt>
                <c:pt idx="3">
                  <c:v>1.1755705045849463</c:v>
                </c:pt>
                <c:pt idx="4">
                  <c:v>0.6180339887498949</c:v>
                </c:pt>
                <c:pt idx="5">
                  <c:v>1.22514845490862E-16</c:v>
                </c:pt>
                <c:pt idx="6">
                  <c:v>-0.61803398874989468</c:v>
                </c:pt>
                <c:pt idx="7">
                  <c:v>-1.1755705045849461</c:v>
                </c:pt>
                <c:pt idx="8">
                  <c:v>-1.6180339887498947</c:v>
                </c:pt>
                <c:pt idx="9">
                  <c:v>-1.9021130325903071</c:v>
                </c:pt>
                <c:pt idx="10">
                  <c:v>-2</c:v>
                </c:pt>
                <c:pt idx="11">
                  <c:v>-1.9021130325903071</c:v>
                </c:pt>
                <c:pt idx="12">
                  <c:v>-1.6180339887498951</c:v>
                </c:pt>
                <c:pt idx="13">
                  <c:v>-1.1755705045849465</c:v>
                </c:pt>
                <c:pt idx="14">
                  <c:v>-0.61803398874989512</c:v>
                </c:pt>
                <c:pt idx="15">
                  <c:v>-3.67544536472586E-16</c:v>
                </c:pt>
                <c:pt idx="16">
                  <c:v>0.61803398874989446</c:v>
                </c:pt>
                <c:pt idx="17">
                  <c:v>1.1755705045849458</c:v>
                </c:pt>
                <c:pt idx="18">
                  <c:v>1.6180339887498947</c:v>
                </c:pt>
                <c:pt idx="19">
                  <c:v>1.9021130325903071</c:v>
                </c:pt>
              </c:numCache>
            </c:numRef>
          </c:xVal>
          <c:yVal>
            <c:numRef>
              <c:f>'Problem 2'!$E$51:$E$70</c:f>
              <c:numCache>
                <c:formatCode>General</c:formatCode>
                <c:ptCount val="20"/>
                <c:pt idx="0">
                  <c:v>0</c:v>
                </c:pt>
                <c:pt idx="1">
                  <c:v>0.61803398874989479</c:v>
                </c:pt>
                <c:pt idx="2">
                  <c:v>1.1755705045849463</c:v>
                </c:pt>
                <c:pt idx="3">
                  <c:v>1.6180339887498949</c:v>
                </c:pt>
                <c:pt idx="4">
                  <c:v>1.9021130325903071</c:v>
                </c:pt>
                <c:pt idx="5">
                  <c:v>2</c:v>
                </c:pt>
                <c:pt idx="6">
                  <c:v>1.9021130325903073</c:v>
                </c:pt>
                <c:pt idx="7">
                  <c:v>1.6180339887498949</c:v>
                </c:pt>
                <c:pt idx="8">
                  <c:v>1.1755705045849465</c:v>
                </c:pt>
                <c:pt idx="9">
                  <c:v>0.61803398874989501</c:v>
                </c:pt>
                <c:pt idx="10">
                  <c:v>2.45029690981724E-16</c:v>
                </c:pt>
                <c:pt idx="11">
                  <c:v>-0.61803398874989546</c:v>
                </c:pt>
                <c:pt idx="12">
                  <c:v>-1.1755705045849461</c:v>
                </c:pt>
                <c:pt idx="13">
                  <c:v>-1.6180339887498947</c:v>
                </c:pt>
                <c:pt idx="14">
                  <c:v>-1.9021130325903071</c:v>
                </c:pt>
                <c:pt idx="15">
                  <c:v>-2</c:v>
                </c:pt>
                <c:pt idx="16">
                  <c:v>-1.9021130325903073</c:v>
                </c:pt>
                <c:pt idx="17">
                  <c:v>-1.6180339887498951</c:v>
                </c:pt>
                <c:pt idx="18">
                  <c:v>-1.1755705045849467</c:v>
                </c:pt>
                <c:pt idx="19">
                  <c:v>-0.61803398874989524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BD-4194-8EBC-CCD8FC7B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952976"/>
        <c:axId val="519947696"/>
      </c:scatterChart>
      <c:valAx>
        <c:axId val="51995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47696"/>
        <c:crosses val="autoZero"/>
        <c:crossBetween val="midCat"/>
      </c:valAx>
      <c:valAx>
        <c:axId val="5199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5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'Problem 2'!$D$15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2'!$C$16:$C$35</c:f>
              <c:numCache>
                <c:formatCode>General</c:formatCode>
                <c:ptCount val="20"/>
                <c:pt idx="0">
                  <c:v>2</c:v>
                </c:pt>
                <c:pt idx="1">
                  <c:v>1.7894736842105263</c:v>
                </c:pt>
                <c:pt idx="2">
                  <c:v>1.5789473684210527</c:v>
                </c:pt>
                <c:pt idx="3">
                  <c:v>1.368421052631579</c:v>
                </c:pt>
                <c:pt idx="4">
                  <c:v>1.1578947368421053</c:v>
                </c:pt>
                <c:pt idx="5">
                  <c:v>0.94736842105263164</c:v>
                </c:pt>
                <c:pt idx="6">
                  <c:v>0.73684210526315796</c:v>
                </c:pt>
                <c:pt idx="7">
                  <c:v>0.52631578947368429</c:v>
                </c:pt>
                <c:pt idx="8">
                  <c:v>0.31578947368421062</c:v>
                </c:pt>
                <c:pt idx="9">
                  <c:v>0.10526315789473695</c:v>
                </c:pt>
                <c:pt idx="10">
                  <c:v>-0.10526315789473673</c:v>
                </c:pt>
                <c:pt idx="11">
                  <c:v>-0.31578947368421062</c:v>
                </c:pt>
                <c:pt idx="12">
                  <c:v>-0.52631578947368407</c:v>
                </c:pt>
                <c:pt idx="13">
                  <c:v>-0.73684210526315752</c:v>
                </c:pt>
                <c:pt idx="14">
                  <c:v>-0.94736842105263142</c:v>
                </c:pt>
                <c:pt idx="15">
                  <c:v>-1.1578947368421053</c:v>
                </c:pt>
                <c:pt idx="16">
                  <c:v>-1.3684210526315788</c:v>
                </c:pt>
                <c:pt idx="17">
                  <c:v>-1.5789473684210522</c:v>
                </c:pt>
                <c:pt idx="18">
                  <c:v>-1.7894736842105261</c:v>
                </c:pt>
                <c:pt idx="19">
                  <c:v>-2</c:v>
                </c:pt>
              </c:numCache>
            </c:numRef>
          </c:xVal>
          <c:yVal>
            <c:numRef>
              <c:f>'Problem 2'!$D$16:$D$35</c:f>
              <c:numCache>
                <c:formatCode>General</c:formatCode>
                <c:ptCount val="20"/>
                <c:pt idx="0">
                  <c:v>0</c:v>
                </c:pt>
                <c:pt idx="1">
                  <c:v>0.89318751307774424</c:v>
                </c:pt>
                <c:pt idx="2">
                  <c:v>1.2275688199674315</c:v>
                </c:pt>
                <c:pt idx="3">
                  <c:v>1.4585691011106336</c:v>
                </c:pt>
                <c:pt idx="4">
                  <c:v>1.6307298299820703</c:v>
                </c:pt>
                <c:pt idx="5">
                  <c:v>1.7613895295454221</c:v>
                </c:pt>
                <c:pt idx="6">
                  <c:v>1.859318077121652</c:v>
                </c:pt>
                <c:pt idx="7">
                  <c:v>1.92950555577088</c:v>
                </c:pt>
                <c:pt idx="8">
                  <c:v>1.974911898873023</c:v>
                </c:pt>
                <c:pt idx="9">
                  <c:v>1.9972279958958186</c:v>
                </c:pt>
                <c:pt idx="10">
                  <c:v>1.9972279958958186</c:v>
                </c:pt>
                <c:pt idx="11">
                  <c:v>1.974911898873023</c:v>
                </c:pt>
                <c:pt idx="12">
                  <c:v>1.92950555577088</c:v>
                </c:pt>
                <c:pt idx="13">
                  <c:v>1.8593180771216522</c:v>
                </c:pt>
                <c:pt idx="14">
                  <c:v>1.7613895295454223</c:v>
                </c:pt>
                <c:pt idx="15">
                  <c:v>1.6307298299820703</c:v>
                </c:pt>
                <c:pt idx="16">
                  <c:v>1.4585691011106336</c:v>
                </c:pt>
                <c:pt idx="17">
                  <c:v>1.2275688199674322</c:v>
                </c:pt>
                <c:pt idx="18">
                  <c:v>0.89318751307774469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0-40A1-B3ED-0C328BD4E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930416"/>
        <c:axId val="519926096"/>
      </c:scatterChart>
      <c:valAx>
        <c:axId val="51993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26096"/>
        <c:crosses val="autoZero"/>
        <c:crossBetween val="midCat"/>
      </c:valAx>
      <c:valAx>
        <c:axId val="5199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3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316706</xdr:colOff>
      <xdr:row>53</xdr:row>
      <xdr:rowOff>52388</xdr:rowOff>
    </xdr:from>
    <xdr:to>
      <xdr:col>10</xdr:col>
      <xdr:colOff>371476</xdr:colOff>
      <xdr:row>67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386BC2-3D76-211D-26A6-F49B1C6F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314323</xdr:colOff>
      <xdr:row>17</xdr:row>
      <xdr:rowOff>142875</xdr:rowOff>
    </xdr:from>
    <xdr:to>
      <xdr:col>10</xdr:col>
      <xdr:colOff>416716</xdr:colOff>
      <xdr:row>32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364A2B-6345-71FF-B307-5332949C2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8D12-158F-4C2C-A524-EE7FC1CC4239}">
  <dimension ref="B2:E30"/>
  <sheetViews>
    <sheetView topLeftCell="A7" workbookViewId="0">
      <selection activeCell="F24" sqref="F24"/>
    </sheetView>
  </sheetViews>
  <sheetFormatPr defaultRowHeight="14.25" x14ac:dyDescent="0.45"/>
  <sheetData>
    <row r="2" spans="2:5" x14ac:dyDescent="0.45">
      <c r="B2" s="8" t="s">
        <v>5</v>
      </c>
      <c r="E2" s="8" t="s">
        <v>6</v>
      </c>
    </row>
    <row r="4" spans="2:5" x14ac:dyDescent="0.45">
      <c r="B4" s="1" t="s">
        <v>0</v>
      </c>
      <c r="C4" s="1" t="s">
        <v>1</v>
      </c>
      <c r="E4" t="s">
        <v>4</v>
      </c>
    </row>
    <row r="5" spans="2:5" x14ac:dyDescent="0.45">
      <c r="B5" s="1">
        <v>1</v>
      </c>
      <c r="C5" s="1">
        <v>4.7619047619047616E-2</v>
      </c>
    </row>
    <row r="6" spans="2:5" x14ac:dyDescent="0.45">
      <c r="B6" s="1">
        <v>2</v>
      </c>
      <c r="C6" s="1">
        <v>9.5238095238095233E-2</v>
      </c>
    </row>
    <row r="7" spans="2:5" x14ac:dyDescent="0.45">
      <c r="B7" s="1">
        <v>3</v>
      </c>
      <c r="C7" s="1">
        <v>0.14285714285714285</v>
      </c>
    </row>
    <row r="8" spans="2:5" x14ac:dyDescent="0.45">
      <c r="B8" s="1">
        <v>4</v>
      </c>
      <c r="C8" s="1">
        <v>0.19047619047619047</v>
      </c>
    </row>
    <row r="9" spans="2:5" x14ac:dyDescent="0.45">
      <c r="B9" s="1">
        <v>5</v>
      </c>
      <c r="C9" s="1">
        <v>0.23809523809523808</v>
      </c>
    </row>
    <row r="10" spans="2:5" x14ac:dyDescent="0.45">
      <c r="B10" s="1">
        <v>6</v>
      </c>
      <c r="C10" s="1">
        <v>0.2857142857142857</v>
      </c>
    </row>
    <row r="17" spans="2:4" x14ac:dyDescent="0.45">
      <c r="B17" s="8" t="s">
        <v>7</v>
      </c>
    </row>
    <row r="19" spans="2:4" x14ac:dyDescent="0.45">
      <c r="B19" s="5" t="s">
        <v>0</v>
      </c>
      <c r="C19" s="5" t="s">
        <v>1</v>
      </c>
      <c r="D19" s="5" t="s">
        <v>2</v>
      </c>
    </row>
    <row r="20" spans="2:4" x14ac:dyDescent="0.45">
      <c r="B20" s="3">
        <v>1</v>
      </c>
      <c r="C20" s="3">
        <f>B20/21</f>
        <v>4.7619047619047616E-2</v>
      </c>
      <c r="D20" s="3">
        <f>B20*C20</f>
        <v>4.7619047619047616E-2</v>
      </c>
    </row>
    <row r="21" spans="2:4" x14ac:dyDescent="0.45">
      <c r="B21" s="2">
        <v>2</v>
      </c>
      <c r="C21" s="2">
        <f>B21/21</f>
        <v>9.5238095238095233E-2</v>
      </c>
      <c r="D21" s="2">
        <f t="shared" ref="D21:D25" si="0">B21*C21</f>
        <v>0.19047619047619047</v>
      </c>
    </row>
    <row r="22" spans="2:4" x14ac:dyDescent="0.45">
      <c r="B22" s="3">
        <v>3</v>
      </c>
      <c r="C22" s="3">
        <f t="shared" ref="C22:C25" si="1">B22/21</f>
        <v>0.14285714285714285</v>
      </c>
      <c r="D22" s="3">
        <f t="shared" si="0"/>
        <v>0.42857142857142855</v>
      </c>
    </row>
    <row r="23" spans="2:4" x14ac:dyDescent="0.45">
      <c r="B23" s="2">
        <v>4</v>
      </c>
      <c r="C23" s="2">
        <f t="shared" si="1"/>
        <v>0.19047619047619047</v>
      </c>
      <c r="D23" s="2">
        <f t="shared" si="0"/>
        <v>0.76190476190476186</v>
      </c>
    </row>
    <row r="24" spans="2:4" x14ac:dyDescent="0.45">
      <c r="B24" s="3">
        <v>5</v>
      </c>
      <c r="C24" s="3">
        <f t="shared" si="1"/>
        <v>0.23809523809523808</v>
      </c>
      <c r="D24" s="3">
        <f t="shared" si="0"/>
        <v>1.1904761904761905</v>
      </c>
    </row>
    <row r="25" spans="2:4" x14ac:dyDescent="0.45">
      <c r="B25" s="4">
        <v>6</v>
      </c>
      <c r="C25" s="2">
        <f t="shared" si="1"/>
        <v>0.2857142857142857</v>
      </c>
      <c r="D25" s="2">
        <f t="shared" si="0"/>
        <v>1.7142857142857142</v>
      </c>
    </row>
    <row r="26" spans="2:4" x14ac:dyDescent="0.45">
      <c r="B26" s="7"/>
      <c r="C26" s="6" t="s">
        <v>3</v>
      </c>
      <c r="D26" s="5">
        <f>SUM(D20:D25)</f>
        <v>4.333333333333333</v>
      </c>
    </row>
    <row r="29" spans="2:4" x14ac:dyDescent="0.45">
      <c r="C29" s="9" t="s">
        <v>4</v>
      </c>
      <c r="D29" s="9"/>
    </row>
    <row r="30" spans="2:4" x14ac:dyDescent="0.45">
      <c r="C30" s="10">
        <f>D26</f>
        <v>4.333333333333333</v>
      </c>
      <c r="D30" s="10"/>
    </row>
  </sheetData>
  <mergeCells count="2">
    <mergeCell ref="C29:D29"/>
    <mergeCell ref="C30:D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3563-9F65-4DD6-898C-3E2BE4758E98}">
  <dimension ref="B3:N70"/>
  <sheetViews>
    <sheetView tabSelected="1" topLeftCell="A34" workbookViewId="0">
      <selection activeCell="F49" sqref="F49"/>
    </sheetView>
  </sheetViews>
  <sheetFormatPr defaultRowHeight="14.25" x14ac:dyDescent="0.45"/>
  <cols>
    <col min="3" max="3" width="9.3984375" customWidth="1"/>
  </cols>
  <sheetData>
    <row r="3" spans="2:6" x14ac:dyDescent="0.45">
      <c r="B3" t="s">
        <v>5</v>
      </c>
      <c r="D3" t="s">
        <v>6</v>
      </c>
    </row>
    <row r="4" spans="2:6" x14ac:dyDescent="0.45">
      <c r="B4" t="s">
        <v>8</v>
      </c>
      <c r="D4" t="s">
        <v>9</v>
      </c>
    </row>
    <row r="8" spans="2:6" x14ac:dyDescent="0.45">
      <c r="B8" t="s">
        <v>10</v>
      </c>
      <c r="F8" t="s">
        <v>26</v>
      </c>
    </row>
    <row r="10" spans="2:6" x14ac:dyDescent="0.45">
      <c r="C10" t="s">
        <v>20</v>
      </c>
      <c r="D10">
        <v>2</v>
      </c>
    </row>
    <row r="11" spans="2:6" x14ac:dyDescent="0.45">
      <c r="C11" t="s">
        <v>21</v>
      </c>
      <c r="D11">
        <v>-2</v>
      </c>
    </row>
    <row r="12" spans="2:6" x14ac:dyDescent="0.45">
      <c r="C12" t="s">
        <v>23</v>
      </c>
      <c r="D12">
        <v>19</v>
      </c>
      <c r="E12" t="s">
        <v>27</v>
      </c>
    </row>
    <row r="13" spans="2:6" x14ac:dyDescent="0.45">
      <c r="C13" t="s">
        <v>22</v>
      </c>
      <c r="D13">
        <f>(SUM(ABS(D10),ABS(D11))/D12)</f>
        <v>0.21052631578947367</v>
      </c>
    </row>
    <row r="15" spans="2:6" x14ac:dyDescent="0.45">
      <c r="B15" t="s">
        <v>11</v>
      </c>
      <c r="C15" t="s">
        <v>24</v>
      </c>
      <c r="D15" t="s">
        <v>25</v>
      </c>
    </row>
    <row r="16" spans="2:6" x14ac:dyDescent="0.45">
      <c r="B16">
        <v>0</v>
      </c>
      <c r="C16">
        <f>$D$10-(B16*$D$13)</f>
        <v>2</v>
      </c>
      <c r="D16">
        <f>SQRT(4-(C16^2))</f>
        <v>0</v>
      </c>
    </row>
    <row r="17" spans="2:4" x14ac:dyDescent="0.45">
      <c r="B17">
        <v>1</v>
      </c>
      <c r="C17">
        <f t="shared" ref="C17:C35" si="0">$D$10-(B17*$D$13)</f>
        <v>1.7894736842105263</v>
      </c>
      <c r="D17">
        <f t="shared" ref="D17:D35" si="1">SQRT(4-(C17^2))</f>
        <v>0.89318751307774424</v>
      </c>
    </row>
    <row r="18" spans="2:4" x14ac:dyDescent="0.45">
      <c r="B18">
        <v>2</v>
      </c>
      <c r="C18">
        <f t="shared" si="0"/>
        <v>1.5789473684210527</v>
      </c>
      <c r="D18">
        <f t="shared" si="1"/>
        <v>1.2275688199674315</v>
      </c>
    </row>
    <row r="19" spans="2:4" x14ac:dyDescent="0.45">
      <c r="B19">
        <v>3</v>
      </c>
      <c r="C19">
        <f t="shared" si="0"/>
        <v>1.368421052631579</v>
      </c>
      <c r="D19">
        <f t="shared" si="1"/>
        <v>1.4585691011106336</v>
      </c>
    </row>
    <row r="20" spans="2:4" x14ac:dyDescent="0.45">
      <c r="B20">
        <v>4</v>
      </c>
      <c r="C20">
        <f t="shared" si="0"/>
        <v>1.1578947368421053</v>
      </c>
      <c r="D20">
        <f t="shared" si="1"/>
        <v>1.6307298299820703</v>
      </c>
    </row>
    <row r="21" spans="2:4" x14ac:dyDescent="0.45">
      <c r="B21">
        <v>5</v>
      </c>
      <c r="C21">
        <f t="shared" si="0"/>
        <v>0.94736842105263164</v>
      </c>
      <c r="D21">
        <f t="shared" si="1"/>
        <v>1.7613895295454221</v>
      </c>
    </row>
    <row r="22" spans="2:4" x14ac:dyDescent="0.45">
      <c r="B22">
        <v>6</v>
      </c>
      <c r="C22">
        <f t="shared" si="0"/>
        <v>0.73684210526315796</v>
      </c>
      <c r="D22">
        <f t="shared" si="1"/>
        <v>1.859318077121652</v>
      </c>
    </row>
    <row r="23" spans="2:4" x14ac:dyDescent="0.45">
      <c r="B23">
        <v>7</v>
      </c>
      <c r="C23">
        <f t="shared" si="0"/>
        <v>0.52631578947368429</v>
      </c>
      <c r="D23">
        <f t="shared" si="1"/>
        <v>1.92950555577088</v>
      </c>
    </row>
    <row r="24" spans="2:4" x14ac:dyDescent="0.45">
      <c r="B24">
        <v>8</v>
      </c>
      <c r="C24">
        <f t="shared" si="0"/>
        <v>0.31578947368421062</v>
      </c>
      <c r="D24">
        <f t="shared" si="1"/>
        <v>1.974911898873023</v>
      </c>
    </row>
    <row r="25" spans="2:4" x14ac:dyDescent="0.45">
      <c r="B25">
        <v>9</v>
      </c>
      <c r="C25">
        <f t="shared" si="0"/>
        <v>0.10526315789473695</v>
      </c>
      <c r="D25">
        <f t="shared" si="1"/>
        <v>1.9972279958958186</v>
      </c>
    </row>
    <row r="26" spans="2:4" x14ac:dyDescent="0.45">
      <c r="B26">
        <v>10</v>
      </c>
      <c r="C26">
        <f>$D$10-(B26*$D$13)</f>
        <v>-0.10526315789473673</v>
      </c>
      <c r="D26">
        <f t="shared" si="1"/>
        <v>1.9972279958958186</v>
      </c>
    </row>
    <row r="27" spans="2:4" x14ac:dyDescent="0.45">
      <c r="B27">
        <v>11</v>
      </c>
      <c r="C27">
        <f t="shared" si="0"/>
        <v>-0.31578947368421062</v>
      </c>
      <c r="D27">
        <f t="shared" si="1"/>
        <v>1.974911898873023</v>
      </c>
    </row>
    <row r="28" spans="2:4" x14ac:dyDescent="0.45">
      <c r="B28">
        <v>12</v>
      </c>
      <c r="C28">
        <f t="shared" si="0"/>
        <v>-0.52631578947368407</v>
      </c>
      <c r="D28">
        <f t="shared" si="1"/>
        <v>1.92950555577088</v>
      </c>
    </row>
    <row r="29" spans="2:4" x14ac:dyDescent="0.45">
      <c r="B29">
        <v>13</v>
      </c>
      <c r="C29">
        <f t="shared" si="0"/>
        <v>-0.73684210526315752</v>
      </c>
      <c r="D29">
        <f t="shared" si="1"/>
        <v>1.8593180771216522</v>
      </c>
    </row>
    <row r="30" spans="2:4" x14ac:dyDescent="0.45">
      <c r="B30">
        <v>14</v>
      </c>
      <c r="C30">
        <f t="shared" si="0"/>
        <v>-0.94736842105263142</v>
      </c>
      <c r="D30">
        <f t="shared" si="1"/>
        <v>1.7613895295454223</v>
      </c>
    </row>
    <row r="31" spans="2:4" x14ac:dyDescent="0.45">
      <c r="B31">
        <v>15</v>
      </c>
      <c r="C31">
        <f t="shared" si="0"/>
        <v>-1.1578947368421053</v>
      </c>
      <c r="D31">
        <f t="shared" si="1"/>
        <v>1.6307298299820703</v>
      </c>
    </row>
    <row r="32" spans="2:4" x14ac:dyDescent="0.45">
      <c r="B32">
        <v>16</v>
      </c>
      <c r="C32">
        <f t="shared" si="0"/>
        <v>-1.3684210526315788</v>
      </c>
      <c r="D32">
        <f>SQRT(4-(C32^2))</f>
        <v>1.4585691011106336</v>
      </c>
    </row>
    <row r="33" spans="2:14" x14ac:dyDescent="0.45">
      <c r="B33">
        <v>17</v>
      </c>
      <c r="C33">
        <f t="shared" si="0"/>
        <v>-1.5789473684210522</v>
      </c>
      <c r="D33">
        <f t="shared" si="1"/>
        <v>1.2275688199674322</v>
      </c>
    </row>
    <row r="34" spans="2:14" x14ac:dyDescent="0.45">
      <c r="B34">
        <v>18</v>
      </c>
      <c r="C34">
        <f t="shared" si="0"/>
        <v>-1.7894736842105261</v>
      </c>
      <c r="D34">
        <f t="shared" si="1"/>
        <v>0.89318751307774469</v>
      </c>
    </row>
    <row r="35" spans="2:14" x14ac:dyDescent="0.45">
      <c r="B35">
        <v>19</v>
      </c>
      <c r="C35">
        <f t="shared" si="0"/>
        <v>-2</v>
      </c>
      <c r="D35">
        <f t="shared" si="1"/>
        <v>0</v>
      </c>
    </row>
    <row r="38" spans="2:14" x14ac:dyDescent="0.45">
      <c r="C38" t="s">
        <v>18</v>
      </c>
    </row>
    <row r="39" spans="2:14" ht="14.25" customHeight="1" x14ac:dyDescent="0.45">
      <c r="C39" s="13" t="s">
        <v>19</v>
      </c>
      <c r="D39" s="13"/>
      <c r="E39" s="13"/>
      <c r="F39" s="13"/>
      <c r="G39" s="13"/>
      <c r="H39" s="13"/>
      <c r="I39" s="13"/>
      <c r="J39" s="13"/>
      <c r="K39" s="14"/>
      <c r="L39" s="14"/>
      <c r="M39" s="14"/>
      <c r="N39" s="14"/>
    </row>
    <row r="40" spans="2:14" x14ac:dyDescent="0.45">
      <c r="C40" s="13"/>
      <c r="D40" s="13"/>
      <c r="E40" s="13"/>
      <c r="F40" s="13"/>
      <c r="G40" s="13"/>
      <c r="H40" s="13"/>
      <c r="I40" s="13"/>
      <c r="J40" s="13"/>
      <c r="K40" s="14"/>
      <c r="L40" s="14"/>
      <c r="M40" s="14"/>
      <c r="N40" s="14"/>
    </row>
    <row r="41" spans="2:14" x14ac:dyDescent="0.45">
      <c r="C41" s="13"/>
      <c r="D41" s="13"/>
      <c r="E41" s="13"/>
      <c r="F41" s="13"/>
      <c r="G41" s="13"/>
      <c r="H41" s="13"/>
      <c r="I41" s="13"/>
      <c r="J41" s="13"/>
      <c r="K41" s="14"/>
      <c r="L41" s="14"/>
      <c r="M41" s="14"/>
      <c r="N41" s="14"/>
    </row>
    <row r="42" spans="2:14" x14ac:dyDescent="0.45">
      <c r="C42" s="13" t="s">
        <v>28</v>
      </c>
      <c r="D42" s="13"/>
      <c r="E42" s="13"/>
      <c r="F42" s="13"/>
      <c r="G42" s="13"/>
      <c r="H42" s="13"/>
      <c r="I42" s="13"/>
      <c r="J42" s="13"/>
    </row>
    <row r="43" spans="2:14" x14ac:dyDescent="0.45">
      <c r="C43" s="13"/>
      <c r="D43" s="13"/>
      <c r="E43" s="13"/>
      <c r="F43" s="13"/>
      <c r="G43" s="13"/>
      <c r="H43" s="13"/>
      <c r="I43" s="13"/>
      <c r="J43" s="13"/>
    </row>
    <row r="44" spans="2:14" x14ac:dyDescent="0.45">
      <c r="C44" s="13"/>
      <c r="D44" s="13"/>
      <c r="E44" s="13"/>
      <c r="F44" s="13"/>
      <c r="G44" s="13"/>
      <c r="H44" s="13"/>
      <c r="I44" s="13"/>
      <c r="J44" s="13"/>
    </row>
    <row r="49" spans="2:8" x14ac:dyDescent="0.45">
      <c r="G49" s="11" t="s">
        <v>15</v>
      </c>
      <c r="H49" s="12">
        <v>2</v>
      </c>
    </row>
    <row r="50" spans="2:8" x14ac:dyDescent="0.45">
      <c r="B50" s="8" t="s">
        <v>11</v>
      </c>
      <c r="C50" s="8" t="s">
        <v>14</v>
      </c>
      <c r="D50" s="8" t="s">
        <v>12</v>
      </c>
      <c r="E50" s="8" t="s">
        <v>13</v>
      </c>
      <c r="G50" s="11" t="s">
        <v>16</v>
      </c>
      <c r="H50" s="12">
        <v>0</v>
      </c>
    </row>
    <row r="51" spans="2:8" x14ac:dyDescent="0.45">
      <c r="B51">
        <v>1</v>
      </c>
      <c r="C51">
        <f>360*((B51-1)/20)</f>
        <v>0</v>
      </c>
      <c r="D51">
        <f>$H$49*COS(C51*PI()/180)+$H$50</f>
        <v>2</v>
      </c>
      <c r="E51">
        <f>$H$49 * SIN( C51 * PI()/180 ) + $H$51</f>
        <v>0</v>
      </c>
      <c r="G51" s="11" t="s">
        <v>17</v>
      </c>
      <c r="H51" s="12">
        <v>0</v>
      </c>
    </row>
    <row r="52" spans="2:8" x14ac:dyDescent="0.45">
      <c r="B52">
        <v>2</v>
      </c>
      <c r="C52">
        <f t="shared" ref="C52:C70" si="2">360*((B52-1)/20)</f>
        <v>18</v>
      </c>
      <c r="D52">
        <f>$H$49*COS(C52*PI()/180)+$H$50</f>
        <v>1.9021130325903071</v>
      </c>
      <c r="E52">
        <f>$H$49 * SIN( C52 * PI()/180 ) + $H$51</f>
        <v>0.61803398874989479</v>
      </c>
    </row>
    <row r="53" spans="2:8" x14ac:dyDescent="0.45">
      <c r="B53">
        <v>3</v>
      </c>
      <c r="C53">
        <f t="shared" si="2"/>
        <v>36</v>
      </c>
      <c r="D53">
        <f>$H$49*COS(C53*PI()/180)+$H$50</f>
        <v>1.6180339887498949</v>
      </c>
      <c r="E53">
        <f>$H$49 * SIN( C53 * PI()/180 ) + $H$51</f>
        <v>1.1755705045849463</v>
      </c>
    </row>
    <row r="54" spans="2:8" x14ac:dyDescent="0.45">
      <c r="B54">
        <v>4</v>
      </c>
      <c r="C54">
        <f t="shared" si="2"/>
        <v>54</v>
      </c>
      <c r="D54">
        <f>$H$49*COS(C54*PI()/180)+$H$50</f>
        <v>1.1755705045849463</v>
      </c>
      <c r="E54">
        <f>$H$49 * SIN( C54 * PI()/180 ) + $H$51</f>
        <v>1.6180339887498949</v>
      </c>
    </row>
    <row r="55" spans="2:8" x14ac:dyDescent="0.45">
      <c r="B55">
        <v>5</v>
      </c>
      <c r="C55">
        <f t="shared" si="2"/>
        <v>72</v>
      </c>
      <c r="D55">
        <f>$H$49*COS(C55*PI()/180)+$H$50</f>
        <v>0.6180339887498949</v>
      </c>
      <c r="E55">
        <f>$H$49 * SIN( C55 * PI()/180 ) + $H$51</f>
        <v>1.9021130325903071</v>
      </c>
    </row>
    <row r="56" spans="2:8" x14ac:dyDescent="0.45">
      <c r="B56">
        <v>6</v>
      </c>
      <c r="C56">
        <f t="shared" si="2"/>
        <v>90</v>
      </c>
      <c r="D56">
        <f>$H$49*COS(C56*PI()/180)+$H$50</f>
        <v>1.22514845490862E-16</v>
      </c>
      <c r="E56">
        <f>$H$49 * SIN( C56 * PI()/180 ) + $H$51</f>
        <v>2</v>
      </c>
    </row>
    <row r="57" spans="2:8" x14ac:dyDescent="0.45">
      <c r="B57">
        <v>7</v>
      </c>
      <c r="C57">
        <f t="shared" si="2"/>
        <v>108</v>
      </c>
      <c r="D57">
        <f>$H$49*COS(C57*PI()/180)+$H$50</f>
        <v>-0.61803398874989468</v>
      </c>
      <c r="E57">
        <f>$H$49 * SIN( C57 * PI()/180 ) + $H$51</f>
        <v>1.9021130325903073</v>
      </c>
    </row>
    <row r="58" spans="2:8" x14ac:dyDescent="0.45">
      <c r="B58">
        <v>8</v>
      </c>
      <c r="C58">
        <f t="shared" si="2"/>
        <v>125.99999999999999</v>
      </c>
      <c r="D58">
        <f>$H$49*COS(C58*PI()/180)+$H$50</f>
        <v>-1.1755705045849461</v>
      </c>
      <c r="E58">
        <f>$H$49 * SIN( C58 * PI()/180 ) + $H$51</f>
        <v>1.6180339887498949</v>
      </c>
    </row>
    <row r="59" spans="2:8" x14ac:dyDescent="0.45">
      <c r="B59">
        <v>9</v>
      </c>
      <c r="C59">
        <f t="shared" si="2"/>
        <v>144</v>
      </c>
      <c r="D59">
        <f>$H$49*COS(C59*PI()/180)+$H$50</f>
        <v>-1.6180339887498947</v>
      </c>
      <c r="E59">
        <f>$H$49 * SIN( C59 * PI()/180 ) + $H$51</f>
        <v>1.1755705045849465</v>
      </c>
    </row>
    <row r="60" spans="2:8" x14ac:dyDescent="0.45">
      <c r="B60">
        <v>10</v>
      </c>
      <c r="C60">
        <f t="shared" si="2"/>
        <v>162</v>
      </c>
      <c r="D60">
        <f>$H$49*COS(C60*PI()/180)+$H$50</f>
        <v>-1.9021130325903071</v>
      </c>
      <c r="E60">
        <f>$H$49 * SIN( C60 * PI()/180 ) + $H$51</f>
        <v>0.61803398874989501</v>
      </c>
    </row>
    <row r="61" spans="2:8" x14ac:dyDescent="0.45">
      <c r="B61">
        <v>11</v>
      </c>
      <c r="C61">
        <f t="shared" si="2"/>
        <v>180</v>
      </c>
      <c r="D61">
        <f>$H$49*COS(C61*PI()/180)+$H$50</f>
        <v>-2</v>
      </c>
      <c r="E61">
        <f>$H$49 * SIN( C61 * PI()/180 ) + $H$51</f>
        <v>2.45029690981724E-16</v>
      </c>
    </row>
    <row r="62" spans="2:8" x14ac:dyDescent="0.45">
      <c r="B62">
        <v>12</v>
      </c>
      <c r="C62">
        <f t="shared" si="2"/>
        <v>198.00000000000003</v>
      </c>
      <c r="D62">
        <f>$H$49*COS(C62*PI()/180)+$H$50</f>
        <v>-1.9021130325903071</v>
      </c>
      <c r="E62">
        <f>$H$49 * SIN( C62 * PI()/180 ) + $H$51</f>
        <v>-0.61803398874989546</v>
      </c>
    </row>
    <row r="63" spans="2:8" x14ac:dyDescent="0.45">
      <c r="B63">
        <v>13</v>
      </c>
      <c r="C63">
        <f t="shared" si="2"/>
        <v>216</v>
      </c>
      <c r="D63">
        <f>$H$49*COS(C63*PI()/180)+$H$50</f>
        <v>-1.6180339887498951</v>
      </c>
      <c r="E63">
        <f>$H$49 * SIN( C63 * PI()/180 ) + $H$51</f>
        <v>-1.1755705045849461</v>
      </c>
    </row>
    <row r="64" spans="2:8" x14ac:dyDescent="0.45">
      <c r="B64">
        <v>14</v>
      </c>
      <c r="C64">
        <f t="shared" si="2"/>
        <v>234</v>
      </c>
      <c r="D64">
        <f>$H$49*COS(C64*PI()/180)+$H$50</f>
        <v>-1.1755705045849465</v>
      </c>
      <c r="E64">
        <f>$H$49 * SIN( C64 * PI()/180 ) + $H$51</f>
        <v>-1.6180339887498947</v>
      </c>
    </row>
    <row r="65" spans="2:5" x14ac:dyDescent="0.45">
      <c r="B65">
        <v>15</v>
      </c>
      <c r="C65">
        <f t="shared" si="2"/>
        <v>251.99999999999997</v>
      </c>
      <c r="D65">
        <f>$H$49*COS(C65*PI()/180)+$H$50</f>
        <v>-0.61803398874989512</v>
      </c>
      <c r="E65">
        <f>$H$49 * SIN( C65 * PI()/180 ) + $H$51</f>
        <v>-1.9021130325903071</v>
      </c>
    </row>
    <row r="66" spans="2:5" x14ac:dyDescent="0.45">
      <c r="B66">
        <v>16</v>
      </c>
      <c r="C66">
        <f t="shared" si="2"/>
        <v>270</v>
      </c>
      <c r="D66">
        <f>$H$49*COS(C66*PI()/180)+$H$50</f>
        <v>-3.67544536472586E-16</v>
      </c>
      <c r="E66">
        <f>$H$49 * SIN( C66 * PI()/180 ) + $H$51</f>
        <v>-2</v>
      </c>
    </row>
    <row r="67" spans="2:5" x14ac:dyDescent="0.45">
      <c r="B67">
        <v>17</v>
      </c>
      <c r="C67">
        <f t="shared" si="2"/>
        <v>288</v>
      </c>
      <c r="D67">
        <f>$H$49*COS(C67*PI()/180)+$H$50</f>
        <v>0.61803398874989446</v>
      </c>
      <c r="E67">
        <f>$H$49 * SIN( C67 * PI()/180 ) + $H$51</f>
        <v>-1.9021130325903073</v>
      </c>
    </row>
    <row r="68" spans="2:5" x14ac:dyDescent="0.45">
      <c r="B68">
        <v>18</v>
      </c>
      <c r="C68">
        <f t="shared" si="2"/>
        <v>306</v>
      </c>
      <c r="D68">
        <f>$H$49*COS(C68*PI()/180)+$H$50</f>
        <v>1.1755705045849458</v>
      </c>
      <c r="E68">
        <f>$H$49 * SIN( C68 * PI()/180 ) + $H$51</f>
        <v>-1.6180339887498951</v>
      </c>
    </row>
    <row r="69" spans="2:5" x14ac:dyDescent="0.45">
      <c r="B69">
        <v>19</v>
      </c>
      <c r="C69">
        <f t="shared" si="2"/>
        <v>324</v>
      </c>
      <c r="D69">
        <f>$H$49*COS(C69*PI()/180)+$H$50</f>
        <v>1.6180339887498947</v>
      </c>
      <c r="E69">
        <f>$H$49 * SIN( C69 * PI()/180 ) + $H$51</f>
        <v>-1.1755705045849467</v>
      </c>
    </row>
    <row r="70" spans="2:5" x14ac:dyDescent="0.45">
      <c r="B70">
        <v>20</v>
      </c>
      <c r="C70">
        <f t="shared" si="2"/>
        <v>342</v>
      </c>
      <c r="D70">
        <f>$H$49*COS(C70*PI()/180)+$H$50</f>
        <v>1.9021130325903071</v>
      </c>
      <c r="E70">
        <f>$H$49 * SIN( C70 * PI()/180 ) + $H$51</f>
        <v>-0.61803398874989524</v>
      </c>
    </row>
  </sheetData>
  <mergeCells count="2">
    <mergeCell ref="C39:J41"/>
    <mergeCell ref="C42:J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7E3FF6DFEDC45A1AC71FC5B36BE06" ma:contentTypeVersion="4" ma:contentTypeDescription="Create a new document." ma:contentTypeScope="" ma:versionID="31a0ff57c8a1d3dd574344d0294b020d">
  <xsd:schema xmlns:xsd="http://www.w3.org/2001/XMLSchema" xmlns:xs="http://www.w3.org/2001/XMLSchema" xmlns:p="http://schemas.microsoft.com/office/2006/metadata/properties" xmlns:ns3="152525ac-70a3-4b7b-abb9-e8c53f4fb4ed" targetNamespace="http://schemas.microsoft.com/office/2006/metadata/properties" ma:root="true" ma:fieldsID="a16613aa36b3b5e6407cc3670dc98921" ns3:_="">
    <xsd:import namespace="152525ac-70a3-4b7b-abb9-e8c53f4fb4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25ac-70a3-4b7b-abb9-e8c53f4fb4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E0248C-F16E-4C19-8926-BF12178A45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525ac-70a3-4b7b-abb9-e8c53f4fb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041D5C-9336-4A50-A2D5-AABE57161F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DF2E8A-4369-4F31-A065-1CA5AF5ECD4E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152525ac-70a3-4b7b-abb9-e8c53f4fb4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Haberkorn</dc:creator>
  <cp:lastModifiedBy>David Haberkorn</cp:lastModifiedBy>
  <dcterms:created xsi:type="dcterms:W3CDTF">2025-09-14T23:39:31Z</dcterms:created>
  <dcterms:modified xsi:type="dcterms:W3CDTF">2025-09-15T00:26:31Z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0x010100E547E3FF6DFEDC45A1AC71FC5B36BE06</vt:lpwstr>
  </property>
</Properties>
</file>