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y-my.sharepoint.com/personal/dhaberk1_uwyo_edu/Documents/Classes/College/Fall 2025/Intro to Engineering Problem Solving/"/>
    </mc:Choice>
  </mc:AlternateContent>
  <xr:revisionPtr revIDLastSave="457" documentId="8_{BCD70E2E-57F0-4F15-A6AB-8730AC475B71}" xr6:coauthVersionLast="47" xr6:coauthVersionMax="47" xr10:uidLastSave="{2C33C622-EDBB-40FD-96D3-C9113CD0813F}"/>
  <bookViews>
    <workbookView xWindow="-105" yWindow="0" windowWidth="26010" windowHeight="20985" activeTab="1" xr2:uid="{632A9E09-9F97-47F7-B106-D7266B1BF415}"/>
  </bookViews>
  <sheets>
    <sheet name="Deflection Analysis" sheetId="1" r:id="rId1"/>
    <sheet name="Heat Transf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2" l="1"/>
  <c r="D20" i="2"/>
  <c r="D19" i="2"/>
  <c r="D31" i="2" s="1"/>
  <c r="F31" i="2" s="1"/>
  <c r="E39" i="1"/>
  <c r="D39" i="1"/>
  <c r="D28" i="1"/>
  <c r="E28" i="1"/>
  <c r="D29" i="1"/>
  <c r="E29" i="1"/>
  <c r="C18" i="1"/>
  <c r="D18" i="1" s="1"/>
  <c r="C19" i="1"/>
  <c r="D19" i="1" s="1"/>
  <c r="C20" i="1"/>
  <c r="E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C29" i="1"/>
  <c r="C30" i="1"/>
  <c r="E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17" i="1"/>
  <c r="E17" i="1" s="1"/>
  <c r="E9" i="1"/>
  <c r="D30" i="2" l="1"/>
  <c r="F30" i="2" s="1"/>
  <c r="D36" i="2"/>
  <c r="F36" i="2" s="1"/>
  <c r="D35" i="2"/>
  <c r="F35" i="2" s="1"/>
  <c r="D34" i="2"/>
  <c r="F34" i="2" s="1"/>
  <c r="D33" i="2"/>
  <c r="F33" i="2" s="1"/>
  <c r="D32" i="2"/>
  <c r="F32" i="2" s="1"/>
  <c r="E24" i="1"/>
  <c r="E27" i="1"/>
  <c r="E26" i="1"/>
  <c r="E25" i="1"/>
  <c r="E23" i="1"/>
  <c r="E22" i="1"/>
  <c r="E21" i="1"/>
  <c r="D30" i="1"/>
  <c r="D20" i="1"/>
  <c r="E19" i="1"/>
  <c r="D17" i="1"/>
  <c r="D38" i="1" s="1"/>
  <c r="D41" i="1" s="1"/>
  <c r="E18" i="1"/>
  <c r="E38" i="1" s="1"/>
  <c r="E41" i="1" s="1"/>
  <c r="E37" i="1"/>
  <c r="E36" i="1"/>
  <c r="E35" i="1"/>
  <c r="E34" i="1"/>
  <c r="E33" i="1"/>
  <c r="E32" i="1"/>
  <c r="E31" i="1"/>
  <c r="F37" i="2" l="1" a="1"/>
  <c r="F37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<sst xmlns="http://schemas.openxmlformats.org/spreadsheetml/2006/main" count="41" uniqueCount="36">
  <si>
    <t>David Haberkorn</t>
  </si>
  <si>
    <t>ES 1060</t>
  </si>
  <si>
    <t>Lab Exercise 03</t>
  </si>
  <si>
    <t>24 Sept 2025</t>
  </si>
  <si>
    <t>Deflection Analysis</t>
  </si>
  <si>
    <t>Moment of Inertia (I) -  in^4</t>
  </si>
  <si>
    <t>Modulus of Elasticity (E) - psi</t>
  </si>
  <si>
    <t>Uniform Load (w) - lb/in</t>
  </si>
  <si>
    <t>Length of Beam (L) - in</t>
  </si>
  <si>
    <t>Point</t>
  </si>
  <si>
    <t>Pinned Left End</t>
  </si>
  <si>
    <t>Clamped Left End</t>
  </si>
  <si>
    <t>Location</t>
  </si>
  <si>
    <t>Deflection - inches</t>
  </si>
  <si>
    <t>Distance - in</t>
  </si>
  <si>
    <t>Allowable?</t>
  </si>
  <si>
    <t>Largest Deflection - in</t>
  </si>
  <si>
    <t>Max Allowable Deflection - in</t>
  </si>
  <si>
    <t>Inputs</t>
  </si>
  <si>
    <t>Outputs</t>
  </si>
  <si>
    <t>Heat Transfer</t>
  </si>
  <si>
    <t>Wall Thickness (mm)</t>
  </si>
  <si>
    <t>Heat Transfer Rate (kW)</t>
  </si>
  <si>
    <t>z</t>
  </si>
  <si>
    <t>q</t>
  </si>
  <si>
    <t>Slope</t>
  </si>
  <si>
    <t>Intercept</t>
  </si>
  <si>
    <t>R^2</t>
  </si>
  <si>
    <t>Trendline Values</t>
  </si>
  <si>
    <t>Max Residual</t>
  </si>
  <si>
    <t>Experimental Values</t>
  </si>
  <si>
    <t>Trend q</t>
  </si>
  <si>
    <t>Actual q</t>
  </si>
  <si>
    <t>Residual</t>
  </si>
  <si>
    <r>
      <rPr>
        <b/>
        <sz val="11"/>
        <color theme="1"/>
        <rFont val="Aptos Narrow"/>
        <family val="2"/>
        <scheme val="minor"/>
      </rPr>
      <t>Question:</t>
    </r>
    <r>
      <rPr>
        <sz val="11"/>
        <color theme="1"/>
        <rFont val="Aptos Narrow"/>
        <family val="2"/>
        <scheme val="minor"/>
      </rPr>
      <t xml:space="preserve"> What would the Heat Transfer Rate be for a wall thickness of 60mm?</t>
    </r>
  </si>
  <si>
    <r>
      <rPr>
        <b/>
        <sz val="11"/>
        <color theme="1"/>
        <rFont val="Aptos Narrow"/>
        <family val="2"/>
        <scheme val="minor"/>
      </rPr>
      <t>Answer:</t>
    </r>
    <r>
      <rPr>
        <sz val="11"/>
        <color theme="1"/>
        <rFont val="Aptos Narrow"/>
        <family val="2"/>
        <scheme val="minor"/>
      </rPr>
      <t xml:space="preserve"> Approximately 2.5 kW, according to the graph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</si>
</sst>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3" borderId="11" xfId="0" applyFill="1" applyBorder="1"/>
    <xf numFmtId="0" fontId="0" fillId="3" borderId="6" xfId="0" applyFill="1" applyBorder="1"/>
    <xf numFmtId="0" fontId="0" fillId="3" borderId="8" xfId="0" applyFill="1" applyBorder="1"/>
    <xf numFmtId="169" fontId="0" fillId="3" borderId="11" xfId="0" applyNumberFormat="1" applyFill="1" applyBorder="1"/>
    <xf numFmtId="0" fontId="0" fillId="4" borderId="16" xfId="0" applyFill="1" applyBorder="1"/>
    <xf numFmtId="169" fontId="0" fillId="4" borderId="13" xfId="0" applyNumberFormat="1" applyFill="1" applyBorder="1"/>
    <xf numFmtId="0" fontId="1" fillId="2" borderId="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wrapText="1"/>
    </xf>
    <xf numFmtId="0" fontId="1" fillId="2" borderId="10" xfId="0" applyFont="1" applyFill="1" applyBorder="1" applyAlignment="1"/>
    <xf numFmtId="0" fontId="1" fillId="2" borderId="8" xfId="0" applyFont="1" applyFill="1" applyBorder="1" applyAlignment="1"/>
    <xf numFmtId="0" fontId="1" fillId="2" borderId="15" xfId="0" applyFont="1" applyFill="1" applyBorder="1" applyAlignment="1"/>
    <xf numFmtId="169" fontId="0" fillId="3" borderId="18" xfId="0" applyNumberFormat="1" applyFill="1" applyBorder="1"/>
    <xf numFmtId="169" fontId="0" fillId="4" borderId="19" xfId="0" applyNumberFormat="1" applyFill="1" applyBorder="1"/>
    <xf numFmtId="0" fontId="0" fillId="4" borderId="22" xfId="0" applyFill="1" applyBorder="1"/>
    <xf numFmtId="0" fontId="0" fillId="4" borderId="10" xfId="0" applyFill="1" applyBorder="1"/>
    <xf numFmtId="0" fontId="1" fillId="2" borderId="3" xfId="0" applyFont="1" applyFill="1" applyBorder="1" applyAlignment="1">
      <alignment wrapText="1"/>
    </xf>
    <xf numFmtId="0" fontId="1" fillId="2" borderId="6" xfId="0" applyFont="1" applyFill="1" applyBorder="1" applyAlignment="1">
      <alignment horizontal="left" wrapText="1"/>
    </xf>
    <xf numFmtId="0" fontId="1" fillId="2" borderId="30" xfId="0" applyFont="1" applyFill="1" applyBorder="1" applyAlignment="1">
      <alignment horizontal="left" wrapText="1"/>
    </xf>
    <xf numFmtId="0" fontId="1" fillId="2" borderId="20" xfId="0" applyFont="1" applyFill="1" applyBorder="1"/>
    <xf numFmtId="0" fontId="1" fillId="3" borderId="33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169" fontId="0" fillId="3" borderId="4" xfId="0" applyNumberFormat="1" applyFill="1" applyBorder="1" applyAlignment="1">
      <alignment horizontal="right" vertical="center"/>
    </xf>
    <xf numFmtId="169" fontId="0" fillId="3" borderId="1" xfId="0" applyNumberFormat="1" applyFill="1" applyBorder="1" applyAlignment="1">
      <alignment horizontal="right" vertical="center"/>
    </xf>
    <xf numFmtId="169" fontId="0" fillId="3" borderId="7" xfId="0" applyNumberFormat="1" applyFill="1" applyBorder="1" applyAlignment="1">
      <alignment horizontal="right" vertical="center"/>
    </xf>
    <xf numFmtId="169" fontId="0" fillId="3" borderId="31" xfId="0" applyNumberFormat="1" applyFill="1" applyBorder="1" applyAlignment="1">
      <alignment horizontal="right" vertical="center"/>
    </xf>
    <xf numFmtId="169" fontId="0" fillId="3" borderId="32" xfId="0" applyNumberFormat="1" applyFill="1" applyBorder="1" applyAlignment="1">
      <alignment horizontal="right" vertical="center"/>
    </xf>
    <xf numFmtId="0" fontId="1" fillId="2" borderId="35" xfId="0" applyFont="1" applyFill="1" applyBorder="1"/>
    <xf numFmtId="0" fontId="1" fillId="2" borderId="36" xfId="0" applyFont="1" applyFill="1" applyBorder="1"/>
    <xf numFmtId="0" fontId="1" fillId="2" borderId="37" xfId="0" applyFont="1" applyFill="1" applyBorder="1"/>
    <xf numFmtId="0" fontId="1" fillId="2" borderId="38" xfId="0" applyFont="1" applyFill="1" applyBorder="1"/>
    <xf numFmtId="0" fontId="1" fillId="2" borderId="39" xfId="0" applyFont="1" applyFill="1" applyBorder="1"/>
    <xf numFmtId="0" fontId="1" fillId="2" borderId="40" xfId="0" applyFont="1" applyFill="1" applyBorder="1"/>
    <xf numFmtId="0" fontId="0" fillId="4" borderId="5" xfId="0" applyFill="1" applyBorder="1"/>
    <xf numFmtId="0" fontId="0" fillId="4" borderId="7" xfId="0" applyFill="1" applyBorder="1"/>
    <xf numFmtId="0" fontId="1" fillId="2" borderId="38" xfId="0" applyFont="1" applyFill="1" applyBorder="1"/>
    <xf numFmtId="0" fontId="1" fillId="2" borderId="39" xfId="0" applyFont="1" applyFill="1" applyBorder="1"/>
    <xf numFmtId="0" fontId="1" fillId="2" borderId="40" xfId="0" applyFont="1" applyFill="1" applyBorder="1"/>
    <xf numFmtId="0" fontId="1" fillId="2" borderId="41" xfId="0" applyFont="1" applyFill="1" applyBorder="1"/>
    <xf numFmtId="0" fontId="1" fillId="2" borderId="42" xfId="0" applyFont="1" applyFill="1" applyBorder="1"/>
    <xf numFmtId="0" fontId="1" fillId="2" borderId="43" xfId="0" applyFont="1" applyFill="1" applyBorder="1"/>
    <xf numFmtId="0" fontId="1" fillId="0" borderId="0" xfId="0" applyFont="1"/>
    <xf numFmtId="0" fontId="0" fillId="5" borderId="3" xfId="0" applyFill="1" applyBorder="1" applyAlignment="1">
      <alignment horizontal="center" wrapText="1"/>
    </xf>
    <xf numFmtId="0" fontId="0" fillId="5" borderId="5" xfId="0" applyFill="1" applyBorder="1" applyAlignment="1">
      <alignment horizontal="center" wrapText="1"/>
    </xf>
    <xf numFmtId="0" fontId="0" fillId="5" borderId="6" xfId="0" applyFill="1" applyBorder="1" applyAlignment="1">
      <alignment horizontal="center" wrapText="1"/>
    </xf>
    <xf numFmtId="0" fontId="0" fillId="5" borderId="7" xfId="0" applyFill="1" applyBorder="1" applyAlignment="1">
      <alignment horizontal="center" wrapText="1"/>
    </xf>
    <xf numFmtId="0" fontId="0" fillId="5" borderId="6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10" xfId="0" applyFill="1" applyBorder="1"/>
    <xf numFmtId="0" fontId="0" fillId="5" borderId="20" xfId="0" applyFill="1" applyBorder="1"/>
    <xf numFmtId="0" fontId="0" fillId="5" borderId="3" xfId="0" applyFill="1" applyBorder="1"/>
    <xf numFmtId="0" fontId="0" fillId="5" borderId="8" xfId="0" applyFill="1" applyBorder="1"/>
    <xf numFmtId="169" fontId="0" fillId="6" borderId="34" xfId="0" applyNumberFormat="1" applyFill="1" applyBorder="1"/>
    <xf numFmtId="0" fontId="0" fillId="6" borderId="11" xfId="0" applyFill="1" applyBorder="1"/>
    <xf numFmtId="0" fontId="0" fillId="6" borderId="13" xfId="0" applyFill="1" applyBorder="1"/>
    <xf numFmtId="0" fontId="0" fillId="7" borderId="8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5" borderId="33" xfId="0" applyFill="1" applyBorder="1"/>
    <xf numFmtId="169" fontId="0" fillId="6" borderId="12" xfId="0" applyNumberFormat="1" applyFill="1" applyBorder="1"/>
    <xf numFmtId="169" fontId="0" fillId="6" borderId="1" xfId="0" applyNumberFormat="1" applyFill="1" applyBorder="1"/>
    <xf numFmtId="169" fontId="0" fillId="6" borderId="9" xfId="0" applyNumberFormat="1" applyFill="1" applyBorder="1"/>
    <xf numFmtId="0" fontId="0" fillId="5" borderId="44" xfId="0" applyFill="1" applyBorder="1"/>
    <xf numFmtId="0" fontId="0" fillId="5" borderId="2" xfId="0" applyFill="1" applyBorder="1"/>
    <xf numFmtId="169" fontId="0" fillId="7" borderId="46" xfId="0" applyNumberFormat="1" applyFill="1" applyBorder="1"/>
    <xf numFmtId="169" fontId="0" fillId="7" borderId="47" xfId="0" applyNumberFormat="1" applyFill="1" applyBorder="1"/>
    <xf numFmtId="169" fontId="0" fillId="7" borderId="48" xfId="0" applyNumberFormat="1" applyFill="1" applyBorder="1"/>
    <xf numFmtId="0" fontId="0" fillId="6" borderId="23" xfId="0" applyFill="1" applyBorder="1"/>
    <xf numFmtId="0" fontId="0" fillId="6" borderId="21" xfId="0" applyFill="1" applyBorder="1"/>
    <xf numFmtId="0" fontId="0" fillId="6" borderId="25" xfId="0" applyFill="1" applyBorder="1"/>
    <xf numFmtId="0" fontId="0" fillId="6" borderId="27" xfId="0" applyFill="1" applyBorder="1"/>
    <xf numFmtId="0" fontId="0" fillId="6" borderId="28" xfId="0" applyFill="1" applyBorder="1"/>
    <xf numFmtId="0" fontId="0" fillId="6" borderId="29" xfId="0" applyFill="1" applyBorder="1"/>
    <xf numFmtId="0" fontId="0" fillId="6" borderId="5" xfId="0" applyFill="1" applyBorder="1"/>
    <xf numFmtId="169" fontId="0" fillId="6" borderId="16" xfId="0" applyNumberFormat="1" applyFill="1" applyBorder="1"/>
    <xf numFmtId="169" fontId="0" fillId="6" borderId="17" xfId="0" applyNumberFormat="1" applyFill="1" applyBorder="1"/>
    <xf numFmtId="169" fontId="0" fillId="6" borderId="45" xfId="0" applyNumberFormat="1" applyFill="1" applyBorder="1"/>
    <xf numFmtId="0" fontId="0" fillId="8" borderId="0" xfId="0" applyFill="1" applyBorder="1"/>
    <xf numFmtId="0" fontId="2" fillId="8" borderId="0" xfId="0" applyFont="1" applyFill="1" applyBorder="1" applyAlignment="1">
      <alignment horizontal="left" vertical="center"/>
    </xf>
    <xf numFmtId="15" fontId="0" fillId="8" borderId="0" xfId="0" quotePrefix="1" applyNumberFormat="1" applyFill="1" applyBorder="1" applyAlignment="1">
      <alignment horizontal="left"/>
    </xf>
    <xf numFmtId="0" fontId="0" fillId="8" borderId="28" xfId="0" applyFill="1" applyBorder="1"/>
    <xf numFmtId="0" fontId="2" fillId="8" borderId="28" xfId="0" applyFont="1" applyFill="1" applyBorder="1" applyAlignment="1">
      <alignment horizontal="left" vertical="center"/>
    </xf>
    <xf numFmtId="0" fontId="2" fillId="8" borderId="23" xfId="0" applyFont="1" applyFill="1" applyBorder="1" applyAlignment="1">
      <alignment horizontal="left" vertical="center"/>
    </xf>
    <xf numFmtId="0" fontId="2" fillId="8" borderId="21" xfId="0" applyFont="1" applyFill="1" applyBorder="1" applyAlignment="1">
      <alignment horizontal="left" vertical="center"/>
    </xf>
    <xf numFmtId="0" fontId="2" fillId="8" borderId="25" xfId="0" applyFont="1" applyFill="1" applyBorder="1" applyAlignment="1">
      <alignment horizontal="left" vertical="center"/>
    </xf>
    <xf numFmtId="0" fontId="2" fillId="8" borderId="24" xfId="0" applyFont="1" applyFill="1" applyBorder="1" applyAlignment="1">
      <alignment horizontal="left" vertical="center"/>
    </xf>
    <xf numFmtId="0" fontId="2" fillId="8" borderId="26" xfId="0" applyFont="1" applyFill="1" applyBorder="1" applyAlignment="1">
      <alignment horizontal="left" vertical="center"/>
    </xf>
    <xf numFmtId="0" fontId="2" fillId="8" borderId="27" xfId="0" applyFont="1" applyFill="1" applyBorder="1" applyAlignment="1">
      <alignment horizontal="left" vertical="center"/>
    </xf>
    <xf numFmtId="0" fontId="2" fillId="8" borderId="29" xfId="0" applyFont="1" applyFill="1" applyBorder="1" applyAlignment="1">
      <alignment horizontal="left" vertical="center"/>
    </xf>
    <xf numFmtId="0" fontId="0" fillId="8" borderId="23" xfId="0" applyFill="1" applyBorder="1"/>
    <xf numFmtId="0" fontId="0" fillId="8" borderId="24" xfId="0" applyFill="1" applyBorder="1"/>
    <xf numFmtId="15" fontId="0" fillId="8" borderId="24" xfId="0" quotePrefix="1" applyNumberFormat="1" applyFill="1" applyBorder="1" applyAlignment="1">
      <alignment horizontal="left"/>
    </xf>
    <xf numFmtId="0" fontId="0" fillId="8" borderId="2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Deflection of Beams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'Deflection Analysis'!$D$16</c:f>
              <c:strCache>
                <c:ptCount val="1"/>
                <c:pt idx="0">
                  <c:v>Pinned Left End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'Deflection Analysis'!$C$17:$C$37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'Deflection Analysis'!$D$17:$D$37</c:f>
              <c:numCache>
                <c:formatCode>0.000</c:formatCode>
                <c:ptCount val="21"/>
                <c:pt idx="0">
                  <c:v>0</c:v>
                </c:pt>
                <c:pt idx="1">
                  <c:v>-2.7495717285587976E-2</c:v>
                </c:pt>
                <c:pt idx="2">
                  <c:v>-5.4210875331564989E-2</c:v>
                </c:pt>
                <c:pt idx="3">
                  <c:v>-7.9440898541114066E-2</c:v>
                </c:pt>
                <c:pt idx="4">
                  <c:v>-0.10256410256410256</c:v>
                </c:pt>
                <c:pt idx="5">
                  <c:v>-0.12304169429708223</c:v>
                </c:pt>
                <c:pt idx="6">
                  <c:v>-0.14041777188328913</c:v>
                </c:pt>
                <c:pt idx="7">
                  <c:v>-0.15431932471264367</c:v>
                </c:pt>
                <c:pt idx="8">
                  <c:v>-0.16445623342175067</c:v>
                </c:pt>
                <c:pt idx="9">
                  <c:v>-0.1706212698938992</c:v>
                </c:pt>
                <c:pt idx="10">
                  <c:v>-0.17269009725906279</c:v>
                </c:pt>
                <c:pt idx="11">
                  <c:v>-0.1706212698938992</c:v>
                </c:pt>
                <c:pt idx="12">
                  <c:v>-0.16445623342175067</c:v>
                </c:pt>
                <c:pt idx="13">
                  <c:v>-0.15431932471264367</c:v>
                </c:pt>
                <c:pt idx="14">
                  <c:v>-0.14041777188328913</c:v>
                </c:pt>
                <c:pt idx="15">
                  <c:v>-0.12304169429708223</c:v>
                </c:pt>
                <c:pt idx="16">
                  <c:v>-0.10256410256410256</c:v>
                </c:pt>
                <c:pt idx="17">
                  <c:v>-7.9440898541114066E-2</c:v>
                </c:pt>
                <c:pt idx="18">
                  <c:v>-5.4210875331564989E-2</c:v>
                </c:pt>
                <c:pt idx="19">
                  <c:v>-2.7495717285587976E-2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A5-4BC3-A963-2A1A91996809}"/>
            </c:ext>
          </c:extLst>
        </c:ser>
        <c:ser>
          <c:idx val="1"/>
          <c:order val="1"/>
          <c:tx>
            <c:strRef>
              <c:f>'Deflection Analysis'!$E$16</c:f>
              <c:strCache>
                <c:ptCount val="1"/>
                <c:pt idx="0">
                  <c:v>Clamped Left End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'Deflection Analysis'!$C$17:$C$37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'Deflection Analysis'!$E$17:$E$37</c:f>
              <c:numCache>
                <c:formatCode>0.000</c:formatCode>
                <c:ptCount val="21"/>
                <c:pt idx="0">
                  <c:v>0</c:v>
                </c:pt>
                <c:pt idx="1">
                  <c:v>-1.9030448717948718E-3</c:v>
                </c:pt>
                <c:pt idx="2">
                  <c:v>-6.9628647214854114E-3</c:v>
                </c:pt>
                <c:pt idx="3">
                  <c:v>-1.4267655835543767E-2</c:v>
                </c:pt>
                <c:pt idx="4">
                  <c:v>-2.2988505747126436E-2</c:v>
                </c:pt>
                <c:pt idx="5">
                  <c:v>-3.2379393236074271E-2</c:v>
                </c:pt>
                <c:pt idx="6">
                  <c:v>-4.1777188328912467E-2</c:v>
                </c:pt>
                <c:pt idx="7">
                  <c:v>-5.0601652298850573E-2</c:v>
                </c:pt>
                <c:pt idx="8">
                  <c:v>-5.8355437665782495E-2</c:v>
                </c:pt>
                <c:pt idx="9">
                  <c:v>-6.4624088196286469E-2</c:v>
                </c:pt>
                <c:pt idx="10">
                  <c:v>-6.9076038903625112E-2</c:v>
                </c:pt>
                <c:pt idx="11">
                  <c:v>-7.1462616047745356E-2</c:v>
                </c:pt>
                <c:pt idx="12">
                  <c:v>-7.161803713527852E-2</c:v>
                </c:pt>
                <c:pt idx="13">
                  <c:v>-6.9459410919540235E-2</c:v>
                </c:pt>
                <c:pt idx="14">
                  <c:v>-6.49867374005305E-2</c:v>
                </c:pt>
                <c:pt idx="15">
                  <c:v>-5.8282907824933686E-2</c:v>
                </c:pt>
                <c:pt idx="16">
                  <c:v>-4.951370468611848E-2</c:v>
                </c:pt>
                <c:pt idx="17">
                  <c:v>-3.8927801724137935E-2</c:v>
                </c:pt>
                <c:pt idx="18">
                  <c:v>-2.6856763925729443E-2</c:v>
                </c:pt>
                <c:pt idx="19">
                  <c:v>-1.3715047524314766E-2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A5-4BC3-A963-2A1A91996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371935"/>
        <c:axId val="1889372415"/>
      </c:scatterChart>
      <c:valAx>
        <c:axId val="1889371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372415"/>
        <c:crosses val="autoZero"/>
        <c:crossBetween val="midCat"/>
      </c:valAx>
      <c:valAx>
        <c:axId val="188937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Deflection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371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Heat Transfer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Recorded Data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5059492563429577E-2"/>
                  <c:y val="7.455963837853601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q = -0.0141z + 3.4054</a:t>
                    </a:r>
                    <a:br>
                      <a:rPr lang="en-US" baseline="0"/>
                    </a:br>
                    <a:r>
                      <a:rPr lang="en-US" baseline="0"/>
                      <a:t>R² = 0.950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name>Excel Trendline</c:nam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'Heat Transfer'!$C$11:$C$17</c:f>
              <c:numCache>
                <c:formatCode>General</c:formatCode>
                <c:ptCount val="7"/>
                <c:pt idx="0">
                  <c:v>10</c:v>
                </c:pt>
                <c:pt idx="1">
                  <c:v>15</c:v>
                </c:pt>
                <c:pt idx="2">
                  <c:v>35</c:v>
                </c:pt>
                <c:pt idx="3">
                  <c:v>40</c:v>
                </c:pt>
                <c:pt idx="4">
                  <c:v>50</c:v>
                </c:pt>
                <c:pt idx="5">
                  <c:v>65</c:v>
                </c:pt>
                <c:pt idx="6">
                  <c:v>90</c:v>
                </c:pt>
              </c:numCache>
            </c:numRef>
          </c:xVal>
          <c:yVal>
            <c:numRef>
              <c:f>'Heat Transfer'!$D$11:$D$17</c:f>
              <c:numCache>
                <c:formatCode>General</c:formatCode>
                <c:ptCount val="7"/>
                <c:pt idx="0">
                  <c:v>3.3</c:v>
                </c:pt>
                <c:pt idx="1">
                  <c:v>3.1</c:v>
                </c:pt>
                <c:pt idx="2">
                  <c:v>3.05</c:v>
                </c:pt>
                <c:pt idx="3">
                  <c:v>2.88</c:v>
                </c:pt>
                <c:pt idx="4">
                  <c:v>2.57</c:v>
                </c:pt>
                <c:pt idx="5">
                  <c:v>2.5</c:v>
                </c:pt>
                <c:pt idx="6">
                  <c:v>2.15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F0-45F2-865C-5BFB4A7C0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049759"/>
        <c:axId val="2137046879"/>
      </c:scatterChart>
      <c:valAx>
        <c:axId val="2137049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Wall Thickness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046879"/>
        <c:crosses val="autoZero"/>
        <c:crossBetween val="midCat"/>
      </c:valAx>
      <c:valAx>
        <c:axId val="213704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Heat</a:t>
                </a:r>
                <a:r>
                  <a:rPr lang="en-US" baseline="0"/>
                  <a:t> Transfer Rate (kW)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049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714375</xdr:colOff>
      <xdr:row>5</xdr:row>
      <xdr:rowOff>66675</xdr:rowOff>
    </xdr:from>
    <xdr:to>
      <xdr:col>13</xdr:col>
      <xdr:colOff>153179</xdr:colOff>
      <xdr:row>13</xdr:row>
      <xdr:rowOff>104994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0EFC4E-73AE-FC5F-3A78-2EAFB9C0F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57850" y="1019175"/>
          <a:ext cx="5582429" cy="1571844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14</xdr:row>
      <xdr:rowOff>104775</xdr:rowOff>
    </xdr:from>
    <xdr:to>
      <xdr:col>12</xdr:col>
      <xdr:colOff>315003</xdr:colOff>
      <xdr:row>20</xdr:row>
      <xdr:rowOff>57304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CA6C74-DE8C-4292-874D-58323BF1B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34075" y="2781300"/>
          <a:ext cx="4858428" cy="1105054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24</xdr:row>
      <xdr:rowOff>23812</xdr:rowOff>
    </xdr:from>
    <xdr:to>
      <xdr:col>12</xdr:col>
      <xdr:colOff>57150</xdr:colOff>
      <xdr:row>38</xdr:row>
      <xdr:rowOff>90487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B24EE2-2ABA-4175-4690-106317C63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385762</xdr:colOff>
      <xdr:row>6</xdr:row>
      <xdr:rowOff>61912</xdr:rowOff>
    </xdr:from>
    <xdr:to>
      <xdr:col>13</xdr:col>
      <xdr:colOff>80962</xdr:colOff>
      <xdr:row>20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B13626-9B79-0C51-2DA5-AA7577C48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7FE5-DA12-4E5B-A697-820F69E546BD}">
  <dimension ref="A1:DC41"/>
  <sheetViews>
    <sheetView workbookViewId="0">
      <selection activeCell="O24" sqref="O24"/>
    </sheetView>
  </sheetViews>
  <sheetFormatPr defaultRowHeight="15" x14ac:dyDescent="0.25"/>
  <cols>
    <col min="1" max="1" width="15.85546875" bestFit="1" customWidth="1"/>
    <col min="3" max="3" width="14.140625" customWidth="1"/>
    <col min="4" max="4" width="15.28515625" bestFit="1" customWidth="1"/>
    <col min="5" max="5" width="17.28515625" bestFit="1" customWidth="1"/>
    <col min="6" max="6" width="13.85546875" customWidth="1"/>
    <col min="7" max="7" width="15.42578125" customWidth="1"/>
    <col min="8" max="8" width="17.140625" customWidth="1"/>
  </cols>
  <sheetData>
    <row r="1" spans="1:107" ht="15" customHeight="1" x14ac:dyDescent="0.25">
      <c r="A1" s="93" t="s">
        <v>0</v>
      </c>
      <c r="B1" s="86" t="s">
        <v>4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87"/>
      <c r="BN1" s="87"/>
      <c r="BO1" s="87"/>
      <c r="BP1" s="87"/>
      <c r="BQ1" s="87"/>
      <c r="BR1" s="87"/>
      <c r="BS1" s="87"/>
      <c r="BT1" s="87"/>
      <c r="BU1" s="87"/>
      <c r="BV1" s="87"/>
      <c r="BW1" s="87"/>
      <c r="BX1" s="87"/>
      <c r="BY1" s="87"/>
      <c r="BZ1" s="87"/>
      <c r="CA1" s="87"/>
      <c r="CB1" s="87"/>
      <c r="CC1" s="87"/>
      <c r="CD1" s="87"/>
      <c r="CE1" s="87"/>
      <c r="CF1" s="87"/>
      <c r="CG1" s="87"/>
      <c r="CH1" s="87"/>
      <c r="CI1" s="87"/>
      <c r="CJ1" s="87"/>
      <c r="CK1" s="87"/>
      <c r="CL1" s="87"/>
      <c r="CM1" s="87"/>
      <c r="CN1" s="87"/>
      <c r="CO1" s="87"/>
      <c r="CP1" s="87"/>
      <c r="CQ1" s="87"/>
      <c r="CR1" s="87"/>
      <c r="CS1" s="87"/>
      <c r="CT1" s="87"/>
      <c r="CU1" s="87"/>
      <c r="CV1" s="87"/>
      <c r="CW1" s="87"/>
      <c r="CX1" s="87"/>
      <c r="CY1" s="87"/>
      <c r="CZ1" s="87"/>
      <c r="DA1" s="87"/>
      <c r="DB1" s="87"/>
      <c r="DC1" s="88"/>
    </row>
    <row r="2" spans="1:107" ht="15" customHeight="1" x14ac:dyDescent="0.25">
      <c r="A2" s="94" t="s">
        <v>1</v>
      </c>
      <c r="B2" s="89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82"/>
      <c r="BQ2" s="82"/>
      <c r="BR2" s="82"/>
      <c r="BS2" s="82"/>
      <c r="BT2" s="82"/>
      <c r="BU2" s="82"/>
      <c r="BV2" s="82"/>
      <c r="BW2" s="82"/>
      <c r="BX2" s="82"/>
      <c r="BY2" s="82"/>
      <c r="BZ2" s="82"/>
      <c r="CA2" s="82"/>
      <c r="CB2" s="82"/>
      <c r="CC2" s="82"/>
      <c r="CD2" s="82"/>
      <c r="CE2" s="82"/>
      <c r="CF2" s="82"/>
      <c r="CG2" s="82"/>
      <c r="CH2" s="82"/>
      <c r="CI2" s="82"/>
      <c r="CJ2" s="82"/>
      <c r="CK2" s="82"/>
      <c r="CL2" s="82"/>
      <c r="CM2" s="82"/>
      <c r="CN2" s="82"/>
      <c r="CO2" s="82"/>
      <c r="CP2" s="82"/>
      <c r="CQ2" s="82"/>
      <c r="CR2" s="82"/>
      <c r="CS2" s="82"/>
      <c r="CT2" s="82"/>
      <c r="CU2" s="82"/>
      <c r="CV2" s="82"/>
      <c r="CW2" s="82"/>
      <c r="CX2" s="82"/>
      <c r="CY2" s="82"/>
      <c r="CZ2" s="82"/>
      <c r="DA2" s="82"/>
      <c r="DB2" s="82"/>
      <c r="DC2" s="90"/>
    </row>
    <row r="3" spans="1:107" ht="15" customHeight="1" x14ac:dyDescent="0.25">
      <c r="A3" s="95" t="s">
        <v>3</v>
      </c>
      <c r="B3" s="89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82"/>
      <c r="BP3" s="82"/>
      <c r="BQ3" s="82"/>
      <c r="BR3" s="82"/>
      <c r="BS3" s="82"/>
      <c r="BT3" s="82"/>
      <c r="BU3" s="82"/>
      <c r="BV3" s="82"/>
      <c r="BW3" s="82"/>
      <c r="BX3" s="82"/>
      <c r="BY3" s="82"/>
      <c r="BZ3" s="82"/>
      <c r="CA3" s="82"/>
      <c r="CB3" s="82"/>
      <c r="CC3" s="82"/>
      <c r="CD3" s="82"/>
      <c r="CE3" s="82"/>
      <c r="CF3" s="82"/>
      <c r="CG3" s="82"/>
      <c r="CH3" s="82"/>
      <c r="CI3" s="82"/>
      <c r="CJ3" s="82"/>
      <c r="CK3" s="82"/>
      <c r="CL3" s="82"/>
      <c r="CM3" s="82"/>
      <c r="CN3" s="82"/>
      <c r="CO3" s="82"/>
      <c r="CP3" s="82"/>
      <c r="CQ3" s="82"/>
      <c r="CR3" s="82"/>
      <c r="CS3" s="82"/>
      <c r="CT3" s="82"/>
      <c r="CU3" s="82"/>
      <c r="CV3" s="82"/>
      <c r="CW3" s="82"/>
      <c r="CX3" s="82"/>
      <c r="CY3" s="82"/>
      <c r="CZ3" s="82"/>
      <c r="DA3" s="82"/>
      <c r="DB3" s="82"/>
      <c r="DC3" s="90"/>
    </row>
    <row r="4" spans="1:107" ht="15" customHeight="1" thickBot="1" x14ac:dyDescent="0.3">
      <c r="A4" s="96" t="s">
        <v>2</v>
      </c>
      <c r="B4" s="91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85"/>
      <c r="BR4" s="85"/>
      <c r="BS4" s="85"/>
      <c r="BT4" s="85"/>
      <c r="BU4" s="85"/>
      <c r="BV4" s="85"/>
      <c r="BW4" s="85"/>
      <c r="BX4" s="85"/>
      <c r="BY4" s="85"/>
      <c r="BZ4" s="85"/>
      <c r="CA4" s="85"/>
      <c r="CB4" s="85"/>
      <c r="CC4" s="85"/>
      <c r="CD4" s="85"/>
      <c r="CE4" s="85"/>
      <c r="CF4" s="85"/>
      <c r="CG4" s="85"/>
      <c r="CH4" s="85"/>
      <c r="CI4" s="85"/>
      <c r="CJ4" s="85"/>
      <c r="CK4" s="85"/>
      <c r="CL4" s="85"/>
      <c r="CM4" s="85"/>
      <c r="CN4" s="85"/>
      <c r="CO4" s="85"/>
      <c r="CP4" s="85"/>
      <c r="CQ4" s="85"/>
      <c r="CR4" s="85"/>
      <c r="CS4" s="85"/>
      <c r="CT4" s="85"/>
      <c r="CU4" s="85"/>
      <c r="CV4" s="85"/>
      <c r="CW4" s="85"/>
      <c r="CX4" s="85"/>
      <c r="CY4" s="85"/>
      <c r="CZ4" s="85"/>
      <c r="DA4" s="85"/>
      <c r="DB4" s="85"/>
      <c r="DC4" s="92"/>
    </row>
    <row r="8" spans="1:107" ht="15.75" thickBot="1" x14ac:dyDescent="0.3">
      <c r="B8" s="44" t="s">
        <v>18</v>
      </c>
    </row>
    <row r="9" spans="1:107" x14ac:dyDescent="0.25">
      <c r="B9" s="30" t="s">
        <v>6</v>
      </c>
      <c r="C9" s="31"/>
      <c r="D9" s="32"/>
      <c r="E9" s="36">
        <f>29*10^6</f>
        <v>29000000</v>
      </c>
    </row>
    <row r="10" spans="1:107" x14ac:dyDescent="0.25">
      <c r="B10" s="33" t="s">
        <v>5</v>
      </c>
      <c r="C10" s="34"/>
      <c r="D10" s="35"/>
      <c r="E10" s="37">
        <v>26</v>
      </c>
    </row>
    <row r="11" spans="1:107" x14ac:dyDescent="0.25">
      <c r="B11" s="38" t="s">
        <v>7</v>
      </c>
      <c r="C11" s="39"/>
      <c r="D11" s="40"/>
      <c r="E11" s="37">
        <v>100</v>
      </c>
    </row>
    <row r="12" spans="1:107" ht="15" customHeight="1" thickBot="1" x14ac:dyDescent="0.3">
      <c r="B12" s="41" t="s">
        <v>8</v>
      </c>
      <c r="C12" s="42"/>
      <c r="D12" s="43"/>
      <c r="E12" s="18">
        <v>100</v>
      </c>
    </row>
    <row r="14" spans="1:107" ht="15.75" thickBot="1" x14ac:dyDescent="0.3">
      <c r="B14" s="44" t="s">
        <v>19</v>
      </c>
    </row>
    <row r="15" spans="1:107" x14ac:dyDescent="0.25">
      <c r="B15" s="7" t="s">
        <v>12</v>
      </c>
      <c r="C15" s="8"/>
      <c r="D15" s="9" t="s">
        <v>13</v>
      </c>
      <c r="E15" s="10"/>
    </row>
    <row r="16" spans="1:107" ht="15.75" thickBot="1" x14ac:dyDescent="0.3">
      <c r="B16" s="11" t="s">
        <v>9</v>
      </c>
      <c r="C16" s="14" t="s">
        <v>14</v>
      </c>
      <c r="D16" s="13" t="s">
        <v>10</v>
      </c>
      <c r="E16" s="12" t="s">
        <v>11</v>
      </c>
    </row>
    <row r="17" spans="2:5" x14ac:dyDescent="0.25">
      <c r="B17" s="1">
        <v>0</v>
      </c>
      <c r="C17" s="5">
        <f>($E$12/MAX(B$17:B$37))*B17</f>
        <v>0</v>
      </c>
      <c r="D17" s="4">
        <f>((-($E$11/(24*$E$9*$E$10))) *  (($C17^4)-(2*$E$12*($C17^3)) + (($E$12^3)*$C17)) )</f>
        <v>0</v>
      </c>
      <c r="E17" s="6">
        <f>((-($E$11/(48*$E$9*$E$10))) *  ((2*($C17^4))-(5*$E$12*($C17^3)) + (3*($E$12^2)*($C17^2))) )</f>
        <v>0</v>
      </c>
    </row>
    <row r="18" spans="2:5" x14ac:dyDescent="0.25">
      <c r="B18" s="2">
        <v>1</v>
      </c>
      <c r="C18" s="5">
        <f>($E$12/MAX(B$17:B$37))*B18</f>
        <v>5</v>
      </c>
      <c r="D18" s="4">
        <f>((-($E$11/(24*$E$9*$E$10))) *  (($C18^4)-(2*$E$12*($C18^3)) + (($E$12^3)*$C18)) )</f>
        <v>-2.7495717285587976E-2</v>
      </c>
      <c r="E18" s="6">
        <f>((-($E$11/(48*$E$9*$E$10))) *  ((2*($C18^4))-(5*$E$12*($C18^3)) + (3*($E$12^2)*($C18^2))) )</f>
        <v>-1.9030448717948718E-3</v>
      </c>
    </row>
    <row r="19" spans="2:5" x14ac:dyDescent="0.25">
      <c r="B19" s="2">
        <v>2</v>
      </c>
      <c r="C19" s="5">
        <f>($E$12/MAX(B$17:B$37))*B19</f>
        <v>10</v>
      </c>
      <c r="D19" s="4">
        <f>((-($E$11/(24*$E$9*$E$10))) *  (($C19^4)-(2*$E$12*($C19^3)) + (($E$12^3)*$C19)) )</f>
        <v>-5.4210875331564989E-2</v>
      </c>
      <c r="E19" s="6">
        <f>((-($E$11/(48*$E$9*$E$10))) *  ((2*($C19^4))-(5*$E$12*($C19^3)) + (3*($E$12^2)*($C19^2))) )</f>
        <v>-6.9628647214854114E-3</v>
      </c>
    </row>
    <row r="20" spans="2:5" x14ac:dyDescent="0.25">
      <c r="B20" s="2">
        <v>3</v>
      </c>
      <c r="C20" s="5">
        <f>($E$12/MAX(B$17:B$37))*B20</f>
        <v>15</v>
      </c>
      <c r="D20" s="4">
        <f>((-($E$11/(24*$E$9*$E$10))) *  (($C20^4)-(2*$E$12*($C20^3)) + (($E$12^3)*$C20)) )</f>
        <v>-7.9440898541114066E-2</v>
      </c>
      <c r="E20" s="6">
        <f>((-($E$11/(48*$E$9*$E$10))) *  ((2*($C20^4))-(5*$E$12*($C20^3)) + (3*($E$12^2)*($C20^2))) )</f>
        <v>-1.4267655835543767E-2</v>
      </c>
    </row>
    <row r="21" spans="2:5" x14ac:dyDescent="0.25">
      <c r="B21" s="2">
        <v>4</v>
      </c>
      <c r="C21" s="5">
        <f>($E$12/MAX(B$17:B$37))*B21</f>
        <v>20</v>
      </c>
      <c r="D21" s="4">
        <f>((-($E$11/(24*$E$9*$E$10))) *  (($C21^4)-(2*$E$12*($C21^3)) + (($E$12^3)*$C21)) )</f>
        <v>-0.10256410256410256</v>
      </c>
      <c r="E21" s="6">
        <f>((-($E$11/(48*$E$9*$E$10))) *  ((2*($C21^4))-(5*$E$12*($C21^3)) + (3*($E$12^2)*($C21^2))) )</f>
        <v>-2.2988505747126436E-2</v>
      </c>
    </row>
    <row r="22" spans="2:5" x14ac:dyDescent="0.25">
      <c r="B22" s="2">
        <v>5</v>
      </c>
      <c r="C22" s="5">
        <f>($E$12/MAX(B$17:B$37))*B22</f>
        <v>25</v>
      </c>
      <c r="D22" s="4">
        <f>((-($E$11/(24*$E$9*$E$10))) *  (($C22^4)-(2*$E$12*($C22^3)) + (($E$12^3)*$C22)) )</f>
        <v>-0.12304169429708223</v>
      </c>
      <c r="E22" s="6">
        <f>((-($E$11/(48*$E$9*$E$10))) *  ((2*($C22^4))-(5*$E$12*($C22^3)) + (3*($E$12^2)*($C22^2))) )</f>
        <v>-3.2379393236074271E-2</v>
      </c>
    </row>
    <row r="23" spans="2:5" x14ac:dyDescent="0.25">
      <c r="B23" s="2">
        <v>6</v>
      </c>
      <c r="C23" s="5">
        <f>($E$12/MAX(B$17:B$37))*B23</f>
        <v>30</v>
      </c>
      <c r="D23" s="4">
        <f>((-($E$11/(24*$E$9*$E$10))) *  (($C23^4)-(2*$E$12*($C23^3)) + (($E$12^3)*$C23)) )</f>
        <v>-0.14041777188328913</v>
      </c>
      <c r="E23" s="6">
        <f>((-($E$11/(48*$E$9*$E$10))) *  ((2*($C23^4))-(5*$E$12*($C23^3)) + (3*($E$12^2)*($C23^2))) )</f>
        <v>-4.1777188328912467E-2</v>
      </c>
    </row>
    <row r="24" spans="2:5" x14ac:dyDescent="0.25">
      <c r="B24" s="2">
        <v>7</v>
      </c>
      <c r="C24" s="5">
        <f>($E$12/MAX(B$17:B$37))*B24</f>
        <v>35</v>
      </c>
      <c r="D24" s="4">
        <f>((-($E$11/(24*$E$9*$E$10))) *  (($C24^4)-(2*$E$12*($C24^3)) + (($E$12^3)*$C24)) )</f>
        <v>-0.15431932471264367</v>
      </c>
      <c r="E24" s="6">
        <f>((-($E$11/(48*$E$9*$E$10))) *  ((2*($C24^4))-(5*$E$12*($C24^3)) + (3*($E$12^2)*($C24^2))) )</f>
        <v>-5.0601652298850573E-2</v>
      </c>
    </row>
    <row r="25" spans="2:5" x14ac:dyDescent="0.25">
      <c r="B25" s="2">
        <v>8</v>
      </c>
      <c r="C25" s="5">
        <f>($E$12/MAX(B$17:B$37))*B25</f>
        <v>40</v>
      </c>
      <c r="D25" s="4">
        <f>((-($E$11/(24*$E$9*$E$10))) *  (($C25^4)-(2*$E$12*($C25^3)) + (($E$12^3)*$C25)) )</f>
        <v>-0.16445623342175067</v>
      </c>
      <c r="E25" s="6">
        <f>((-($E$11/(48*$E$9*$E$10))) *  ((2*($C25^4))-(5*$E$12*($C25^3)) + (3*($E$12^2)*($C25^2))) )</f>
        <v>-5.8355437665782495E-2</v>
      </c>
    </row>
    <row r="26" spans="2:5" x14ac:dyDescent="0.25">
      <c r="B26" s="2">
        <v>9</v>
      </c>
      <c r="C26" s="5">
        <f>($E$12/MAX(B$17:B$37))*B26</f>
        <v>45</v>
      </c>
      <c r="D26" s="4">
        <f>((-($E$11/(24*$E$9*$E$10))) *  (($C26^4)-(2*$E$12*($C26^3)) + (($E$12^3)*$C26)) )</f>
        <v>-0.1706212698938992</v>
      </c>
      <c r="E26" s="6">
        <f>((-($E$11/(48*$E$9*$E$10))) *  ((2*($C26^4))-(5*$E$12*($C26^3)) + (3*($E$12^2)*($C26^2))) )</f>
        <v>-6.4624088196286469E-2</v>
      </c>
    </row>
    <row r="27" spans="2:5" x14ac:dyDescent="0.25">
      <c r="B27" s="2">
        <v>10</v>
      </c>
      <c r="C27" s="5">
        <f>($E$12/MAX(B$17:B$37))*B27</f>
        <v>50</v>
      </c>
      <c r="D27" s="4">
        <f>((-($E$11/(24*$E$9*$E$10))) *  (($C27^4)-(2*$E$12*($C27^3)) + (($E$12^3)*$C27)) )</f>
        <v>-0.17269009725906279</v>
      </c>
      <c r="E27" s="6">
        <f>((-($E$11/(48*$E$9*$E$10))) *  ((2*($C27^4))-(5*$E$12*($C27^3)) + (3*($E$12^2)*($C27^2))) )</f>
        <v>-6.9076038903625112E-2</v>
      </c>
    </row>
    <row r="28" spans="2:5" x14ac:dyDescent="0.25">
      <c r="B28" s="2">
        <v>11</v>
      </c>
      <c r="C28" s="5">
        <f>($E$12/MAX(B$17:B$37))*B28</f>
        <v>55</v>
      </c>
      <c r="D28" s="4">
        <f>((-($E$11/(24*$E$9*$E$10))) *  (($C28^4)-(2*$E$12*($C28^3)) + (($E$12^3)*$C28)) )</f>
        <v>-0.1706212698938992</v>
      </c>
      <c r="E28" s="6">
        <f>((-($E$11/(48*$E$9*$E$10))) *  ((2*($C28^4))-(5*$E$12*($C28^3)) + (3*($E$12^2)*($C28^2))) )</f>
        <v>-7.1462616047745356E-2</v>
      </c>
    </row>
    <row r="29" spans="2:5" x14ac:dyDescent="0.25">
      <c r="B29" s="2">
        <v>12</v>
      </c>
      <c r="C29" s="5">
        <f>($E$12/MAX(B$17:B$37))*B29</f>
        <v>60</v>
      </c>
      <c r="D29" s="4">
        <f>((-($E$11/(24*$E$9*$E$10))) *  (($C29^4)-(2*$E$12*($C29^3)) + (($E$12^3)*$C29)) )</f>
        <v>-0.16445623342175067</v>
      </c>
      <c r="E29" s="6">
        <f>((-($E$11/(48*$E$9*$E$10))) *  ((2*($C29^4))-(5*$E$12*($C29^3)) + (3*($E$12^2)*($C29^2))) )</f>
        <v>-7.161803713527852E-2</v>
      </c>
    </row>
    <row r="30" spans="2:5" x14ac:dyDescent="0.25">
      <c r="B30" s="2">
        <v>13</v>
      </c>
      <c r="C30" s="5">
        <f>($E$12/MAX(B$17:B$37))*B30</f>
        <v>65</v>
      </c>
      <c r="D30" s="4">
        <f>((-($E$11/(24*$E$9*$E$10))) *  (($C30^4)-(2*$E$12*($C30^3)) + (($E$12^3)*$C30)) )</f>
        <v>-0.15431932471264367</v>
      </c>
      <c r="E30" s="6">
        <f>((-($E$11/(48*$E$9*$E$10))) *  ((2*($C30^4))-(5*$E$12*($C30^3)) + (3*($E$12^2)*($C30^2))) )</f>
        <v>-6.9459410919540235E-2</v>
      </c>
    </row>
    <row r="31" spans="2:5" x14ac:dyDescent="0.25">
      <c r="B31" s="2">
        <v>14</v>
      </c>
      <c r="C31" s="5">
        <f>($E$12/MAX(B$17:B$37))*B31</f>
        <v>70</v>
      </c>
      <c r="D31" s="4">
        <f>((-($E$11/(24*$E$9*$E$10))) *  (($C31^4)-(2*$E$12*($C31^3)) + (($E$12^3)*$C31)) )</f>
        <v>-0.14041777188328913</v>
      </c>
      <c r="E31" s="6">
        <f>((-($E$11/(48*$E$9*$E$10))) *  ((2*($C31^4))-(5*$E$12*($C31^3)) + (3*($E$12^2)*($C31^2))) )</f>
        <v>-6.49867374005305E-2</v>
      </c>
    </row>
    <row r="32" spans="2:5" x14ac:dyDescent="0.25">
      <c r="B32" s="2">
        <v>15</v>
      </c>
      <c r="C32" s="5">
        <f>($E$12/MAX(B$17:B$37))*B32</f>
        <v>75</v>
      </c>
      <c r="D32" s="4">
        <f>((-($E$11/(24*$E$9*$E$10))) *  (($C32^4)-(2*$E$12*($C32^3)) + (($E$12^3)*$C32)) )</f>
        <v>-0.12304169429708223</v>
      </c>
      <c r="E32" s="6">
        <f>((-($E$11/(48*$E$9*$E$10))) *  ((2*($C32^4))-(5*$E$12*($C32^3)) + (3*($E$12^2)*($C32^2))) )</f>
        <v>-5.8282907824933686E-2</v>
      </c>
    </row>
    <row r="33" spans="2:5" x14ac:dyDescent="0.25">
      <c r="B33" s="2">
        <v>16</v>
      </c>
      <c r="C33" s="5">
        <f>($E$12/MAX(B$17:B$37))*B33</f>
        <v>80</v>
      </c>
      <c r="D33" s="4">
        <f>((-($E$11/(24*$E$9*$E$10))) *  (($C33^4)-(2*$E$12*($C33^3)) + (($E$12^3)*$C33)) )</f>
        <v>-0.10256410256410256</v>
      </c>
      <c r="E33" s="6">
        <f>((-($E$11/(48*$E$9*$E$10))) *  ((2*($C33^4))-(5*$E$12*($C33^3)) + (3*($E$12^2)*($C33^2))) )</f>
        <v>-4.951370468611848E-2</v>
      </c>
    </row>
    <row r="34" spans="2:5" x14ac:dyDescent="0.25">
      <c r="B34" s="2">
        <v>17</v>
      </c>
      <c r="C34" s="5">
        <f>($E$12/MAX(B$17:B$37))*B34</f>
        <v>85</v>
      </c>
      <c r="D34" s="4">
        <f>((-($E$11/(24*$E$9*$E$10))) *  (($C34^4)-(2*$E$12*($C34^3)) + (($E$12^3)*$C34)) )</f>
        <v>-7.9440898541114066E-2</v>
      </c>
      <c r="E34" s="6">
        <f>((-($E$11/(48*$E$9*$E$10))) *  ((2*($C34^4))-(5*$E$12*($C34^3)) + (3*($E$12^2)*($C34^2))) )</f>
        <v>-3.8927801724137935E-2</v>
      </c>
    </row>
    <row r="35" spans="2:5" x14ac:dyDescent="0.25">
      <c r="B35" s="2">
        <v>18</v>
      </c>
      <c r="C35" s="5">
        <f>($E$12/MAX(B$17:B$37))*B35</f>
        <v>90</v>
      </c>
      <c r="D35" s="4">
        <f>((-($E$11/(24*$E$9*$E$10))) *  (($C35^4)-(2*$E$12*($C35^3)) + (($E$12^3)*$C35)) )</f>
        <v>-5.4210875331564989E-2</v>
      </c>
      <c r="E35" s="6">
        <f>((-($E$11/(48*$E$9*$E$10))) *  ((2*($C35^4))-(5*$E$12*($C35^3)) + (3*($E$12^2)*($C35^2))) )</f>
        <v>-2.6856763925729443E-2</v>
      </c>
    </row>
    <row r="36" spans="2:5" x14ac:dyDescent="0.25">
      <c r="B36" s="2">
        <v>19</v>
      </c>
      <c r="C36" s="5">
        <f>($E$12/MAX(B$17:B$37))*B36</f>
        <v>95</v>
      </c>
      <c r="D36" s="4">
        <f>((-($E$11/(24*$E$9*$E$10))) *  (($C36^4)-(2*$E$12*($C36^3)) + (($E$12^3)*$C36)) )</f>
        <v>-2.7495717285587976E-2</v>
      </c>
      <c r="E36" s="6">
        <f>((-($E$11/(48*$E$9*$E$10))) *  ((2*($C36^4))-(5*$E$12*($C36^3)) + (3*($E$12^2)*($C36^2))) )</f>
        <v>-1.3715047524314766E-2</v>
      </c>
    </row>
    <row r="37" spans="2:5" ht="15.75" thickBot="1" x14ac:dyDescent="0.3">
      <c r="B37" s="3">
        <v>20</v>
      </c>
      <c r="C37" s="17">
        <f>($E$12/MAX(B$17:B$37))*B37</f>
        <v>100</v>
      </c>
      <c r="D37" s="15">
        <f>((-($E$11/(24*$E$9*$E$10))) *  (($C37^4)-(2*$E$12*($C37^3)) + (($E$12^3)*$C37)) )</f>
        <v>0</v>
      </c>
      <c r="E37" s="16">
        <f>((-($E$11/(48*$E$9*$E$10))) *  ((2*($C37^4))-(5*$E$12*($C37^3)) + (3*($E$12^2)*($C37^2))) )</f>
        <v>0</v>
      </c>
    </row>
    <row r="38" spans="2:5" ht="30" x14ac:dyDescent="0.25">
      <c r="C38" s="19" t="s">
        <v>16</v>
      </c>
      <c r="D38" s="25">
        <f>MIN(D17:D37)</f>
        <v>-0.17269009725906279</v>
      </c>
      <c r="E38" s="25">
        <f>MIN(E17:E37)</f>
        <v>-7.161803713527852E-2</v>
      </c>
    </row>
    <row r="39" spans="2:5" x14ac:dyDescent="0.25">
      <c r="C39" s="20" t="s">
        <v>17</v>
      </c>
      <c r="D39" s="26">
        <f>-E12/480</f>
        <v>-0.20833333333333334</v>
      </c>
      <c r="E39" s="27">
        <f>-E12/480</f>
        <v>-0.20833333333333334</v>
      </c>
    </row>
    <row r="40" spans="2:5" ht="15.75" thickBot="1" x14ac:dyDescent="0.3">
      <c r="C40" s="21"/>
      <c r="D40" s="28"/>
      <c r="E40" s="29"/>
    </row>
    <row r="41" spans="2:5" ht="15.75" thickBot="1" x14ac:dyDescent="0.3">
      <c r="C41" s="22" t="s">
        <v>15</v>
      </c>
      <c r="D41" s="23" t="str">
        <f>IF(D38&lt;D39, "No", "Yes")</f>
        <v>Yes</v>
      </c>
      <c r="E41" s="24" t="str">
        <f>IF(E38&lt;E39, "No", "Yes")</f>
        <v>Yes</v>
      </c>
    </row>
  </sheetData>
  <mergeCells count="8">
    <mergeCell ref="B15:C15"/>
    <mergeCell ref="C39:C40"/>
    <mergeCell ref="D39:D40"/>
    <mergeCell ref="E39:E40"/>
    <mergeCell ref="B1:DC4"/>
    <mergeCell ref="B9:D9"/>
    <mergeCell ref="B10:D10"/>
    <mergeCell ref="D15:E1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DE9C3-5EC5-4B13-9E9D-8C7C9A4EAF9B}">
  <dimension ref="A1:DC37"/>
  <sheetViews>
    <sheetView tabSelected="1" workbookViewId="0">
      <selection activeCell="P22" sqref="P22"/>
    </sheetView>
  </sheetViews>
  <sheetFormatPr defaultRowHeight="15" x14ac:dyDescent="0.25"/>
  <cols>
    <col min="1" max="1" width="15.85546875" bestFit="1" customWidth="1"/>
    <col min="3" max="4" width="10" customWidth="1"/>
    <col min="5" max="5" width="12.7109375" bestFit="1" customWidth="1"/>
  </cols>
  <sheetData>
    <row r="1" spans="1:107" x14ac:dyDescent="0.25">
      <c r="A1" s="81" t="s">
        <v>0</v>
      </c>
      <c r="B1" s="86" t="s">
        <v>20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87"/>
      <c r="BN1" s="87"/>
      <c r="BO1" s="87"/>
      <c r="BP1" s="87"/>
      <c r="BQ1" s="87"/>
      <c r="BR1" s="87"/>
      <c r="BS1" s="87"/>
      <c r="BT1" s="87"/>
      <c r="BU1" s="87"/>
      <c r="BV1" s="87"/>
      <c r="BW1" s="87"/>
      <c r="BX1" s="87"/>
      <c r="BY1" s="87"/>
      <c r="BZ1" s="87"/>
      <c r="CA1" s="87"/>
      <c r="CB1" s="87"/>
      <c r="CC1" s="87"/>
      <c r="CD1" s="87"/>
      <c r="CE1" s="87"/>
      <c r="CF1" s="87"/>
      <c r="CG1" s="87"/>
      <c r="CH1" s="87"/>
      <c r="CI1" s="87"/>
      <c r="CJ1" s="87"/>
      <c r="CK1" s="87"/>
      <c r="CL1" s="87"/>
      <c r="CM1" s="87"/>
      <c r="CN1" s="87"/>
      <c r="CO1" s="87"/>
      <c r="CP1" s="87"/>
      <c r="CQ1" s="87"/>
      <c r="CR1" s="87"/>
      <c r="CS1" s="87"/>
      <c r="CT1" s="87"/>
      <c r="CU1" s="87"/>
      <c r="CV1" s="87"/>
      <c r="CW1" s="87"/>
      <c r="CX1" s="87"/>
      <c r="CY1" s="87"/>
      <c r="CZ1" s="87"/>
      <c r="DA1" s="87"/>
      <c r="DB1" s="87"/>
      <c r="DC1" s="88"/>
    </row>
    <row r="2" spans="1:107" x14ac:dyDescent="0.25">
      <c r="A2" s="81" t="s">
        <v>1</v>
      </c>
      <c r="B2" s="89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82"/>
      <c r="BQ2" s="82"/>
      <c r="BR2" s="82"/>
      <c r="BS2" s="82"/>
      <c r="BT2" s="82"/>
      <c r="BU2" s="82"/>
      <c r="BV2" s="82"/>
      <c r="BW2" s="82"/>
      <c r="BX2" s="82"/>
      <c r="BY2" s="82"/>
      <c r="BZ2" s="82"/>
      <c r="CA2" s="82"/>
      <c r="CB2" s="82"/>
      <c r="CC2" s="82"/>
      <c r="CD2" s="82"/>
      <c r="CE2" s="82"/>
      <c r="CF2" s="82"/>
      <c r="CG2" s="82"/>
      <c r="CH2" s="82"/>
      <c r="CI2" s="82"/>
      <c r="CJ2" s="82"/>
      <c r="CK2" s="82"/>
      <c r="CL2" s="82"/>
      <c r="CM2" s="82"/>
      <c r="CN2" s="82"/>
      <c r="CO2" s="82"/>
      <c r="CP2" s="82"/>
      <c r="CQ2" s="82"/>
      <c r="CR2" s="82"/>
      <c r="CS2" s="82"/>
      <c r="CT2" s="82"/>
      <c r="CU2" s="82"/>
      <c r="CV2" s="82"/>
      <c r="CW2" s="82"/>
      <c r="CX2" s="82"/>
      <c r="CY2" s="82"/>
      <c r="CZ2" s="82"/>
      <c r="DA2" s="82"/>
      <c r="DB2" s="82"/>
      <c r="DC2" s="90"/>
    </row>
    <row r="3" spans="1:107" x14ac:dyDescent="0.25">
      <c r="A3" s="83" t="s">
        <v>3</v>
      </c>
      <c r="B3" s="89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82"/>
      <c r="BP3" s="82"/>
      <c r="BQ3" s="82"/>
      <c r="BR3" s="82"/>
      <c r="BS3" s="82"/>
      <c r="BT3" s="82"/>
      <c r="BU3" s="82"/>
      <c r="BV3" s="82"/>
      <c r="BW3" s="82"/>
      <c r="BX3" s="82"/>
      <c r="BY3" s="82"/>
      <c r="BZ3" s="82"/>
      <c r="CA3" s="82"/>
      <c r="CB3" s="82"/>
      <c r="CC3" s="82"/>
      <c r="CD3" s="82"/>
      <c r="CE3" s="82"/>
      <c r="CF3" s="82"/>
      <c r="CG3" s="82"/>
      <c r="CH3" s="82"/>
      <c r="CI3" s="82"/>
      <c r="CJ3" s="82"/>
      <c r="CK3" s="82"/>
      <c r="CL3" s="82"/>
      <c r="CM3" s="82"/>
      <c r="CN3" s="82"/>
      <c r="CO3" s="82"/>
      <c r="CP3" s="82"/>
      <c r="CQ3" s="82"/>
      <c r="CR3" s="82"/>
      <c r="CS3" s="82"/>
      <c r="CT3" s="82"/>
      <c r="CU3" s="82"/>
      <c r="CV3" s="82"/>
      <c r="CW3" s="82"/>
      <c r="CX3" s="82"/>
      <c r="CY3" s="82"/>
      <c r="CZ3" s="82"/>
      <c r="DA3" s="82"/>
      <c r="DB3" s="82"/>
      <c r="DC3" s="90"/>
    </row>
    <row r="4" spans="1:107" ht="15.75" thickBot="1" x14ac:dyDescent="0.3">
      <c r="A4" s="84" t="s">
        <v>2</v>
      </c>
      <c r="B4" s="91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85"/>
      <c r="BR4" s="85"/>
      <c r="BS4" s="85"/>
      <c r="BT4" s="85"/>
      <c r="BU4" s="85"/>
      <c r="BV4" s="85"/>
      <c r="BW4" s="85"/>
      <c r="BX4" s="85"/>
      <c r="BY4" s="85"/>
      <c r="BZ4" s="85"/>
      <c r="CA4" s="85"/>
      <c r="CB4" s="85"/>
      <c r="CC4" s="85"/>
      <c r="CD4" s="85"/>
      <c r="CE4" s="85"/>
      <c r="CF4" s="85"/>
      <c r="CG4" s="85"/>
      <c r="CH4" s="85"/>
      <c r="CI4" s="85"/>
      <c r="CJ4" s="85"/>
      <c r="CK4" s="85"/>
      <c r="CL4" s="85"/>
      <c r="CM4" s="85"/>
      <c r="CN4" s="85"/>
      <c r="CO4" s="85"/>
      <c r="CP4" s="85"/>
      <c r="CQ4" s="85"/>
      <c r="CR4" s="85"/>
      <c r="CS4" s="85"/>
      <c r="CT4" s="85"/>
      <c r="CU4" s="85"/>
      <c r="CV4" s="85"/>
      <c r="CW4" s="85"/>
      <c r="CX4" s="85"/>
      <c r="CY4" s="85"/>
      <c r="CZ4" s="85"/>
      <c r="DA4" s="85"/>
      <c r="DB4" s="85"/>
      <c r="DC4" s="92"/>
    </row>
    <row r="6" spans="1:107" ht="15.75" thickBot="1" x14ac:dyDescent="0.3">
      <c r="C6" s="44" t="s">
        <v>30</v>
      </c>
    </row>
    <row r="7" spans="1:107" ht="15" customHeight="1" x14ac:dyDescent="0.25">
      <c r="C7" s="45" t="s">
        <v>21</v>
      </c>
      <c r="D7" s="46" t="s">
        <v>22</v>
      </c>
    </row>
    <row r="8" spans="1:107" x14ac:dyDescent="0.25">
      <c r="C8" s="47"/>
      <c r="D8" s="48"/>
    </row>
    <row r="9" spans="1:107" x14ac:dyDescent="0.25">
      <c r="C9" s="47"/>
      <c r="D9" s="48"/>
    </row>
    <row r="10" spans="1:107" ht="15.75" thickBot="1" x14ac:dyDescent="0.3">
      <c r="C10" s="60" t="s">
        <v>23</v>
      </c>
      <c r="D10" s="61" t="s">
        <v>24</v>
      </c>
    </row>
    <row r="11" spans="1:107" x14ac:dyDescent="0.25">
      <c r="C11" s="58">
        <v>10</v>
      </c>
      <c r="D11" s="59">
        <v>3.3</v>
      </c>
    </row>
    <row r="12" spans="1:107" x14ac:dyDescent="0.25">
      <c r="C12" s="50">
        <v>15</v>
      </c>
      <c r="D12" s="51">
        <v>3.1</v>
      </c>
    </row>
    <row r="13" spans="1:107" x14ac:dyDescent="0.25">
      <c r="C13" s="50">
        <v>35</v>
      </c>
      <c r="D13" s="51">
        <v>3.05</v>
      </c>
    </row>
    <row r="14" spans="1:107" x14ac:dyDescent="0.25">
      <c r="C14" s="50">
        <v>40</v>
      </c>
      <c r="D14" s="51">
        <v>2.88</v>
      </c>
    </row>
    <row r="15" spans="1:107" x14ac:dyDescent="0.25">
      <c r="C15" s="50">
        <v>50</v>
      </c>
      <c r="D15" s="51">
        <v>2.57</v>
      </c>
    </row>
    <row r="16" spans="1:107" x14ac:dyDescent="0.25">
      <c r="C16" s="50">
        <v>65</v>
      </c>
      <c r="D16" s="51">
        <v>2.5</v>
      </c>
    </row>
    <row r="17" spans="2:9" ht="15.75" thickBot="1" x14ac:dyDescent="0.3">
      <c r="C17" s="52">
        <v>90</v>
      </c>
      <c r="D17" s="53">
        <v>2.15</v>
      </c>
    </row>
    <row r="18" spans="2:9" ht="15.75" thickBot="1" x14ac:dyDescent="0.3"/>
    <row r="19" spans="2:9" x14ac:dyDescent="0.25">
      <c r="C19" s="55" t="s">
        <v>25</v>
      </c>
      <c r="D19" s="77">
        <f>SLOPE(D10:D17, C10:C17)</f>
        <v>-1.405792682926829E-2</v>
      </c>
    </row>
    <row r="20" spans="2:9" x14ac:dyDescent="0.25">
      <c r="C20" s="49" t="s">
        <v>26</v>
      </c>
      <c r="D20" s="51">
        <f>INTERCEPT(D10:D17,C10:C17)</f>
        <v>3.4053810975609746</v>
      </c>
    </row>
    <row r="21" spans="2:9" ht="15.75" thickBot="1" x14ac:dyDescent="0.3">
      <c r="C21" s="56" t="s">
        <v>27</v>
      </c>
      <c r="D21" s="53">
        <f>RSQ(D10:D17,C10:C17)</f>
        <v>0.9507906097417872</v>
      </c>
    </row>
    <row r="23" spans="2:9" ht="15.75" thickBot="1" x14ac:dyDescent="0.3"/>
    <row r="24" spans="2:9" x14ac:dyDescent="0.25">
      <c r="B24" s="71" t="s">
        <v>34</v>
      </c>
      <c r="C24" s="72"/>
      <c r="D24" s="72"/>
      <c r="E24" s="72"/>
      <c r="F24" s="72"/>
      <c r="G24" s="72"/>
      <c r="H24" s="72"/>
      <c r="I24" s="73"/>
    </row>
    <row r="25" spans="2:9" ht="15.75" thickBot="1" x14ac:dyDescent="0.3">
      <c r="B25" s="74" t="s">
        <v>35</v>
      </c>
      <c r="C25" s="75"/>
      <c r="D25" s="75"/>
      <c r="E25" s="75"/>
      <c r="F25" s="75"/>
      <c r="G25" s="75"/>
      <c r="H25" s="75"/>
      <c r="I25" s="76"/>
    </row>
    <row r="28" spans="2:9" ht="15.75" thickBot="1" x14ac:dyDescent="0.3">
      <c r="C28" s="44" t="s">
        <v>28</v>
      </c>
    </row>
    <row r="29" spans="2:9" ht="15.75" thickBot="1" x14ac:dyDescent="0.3">
      <c r="C29" s="54" t="s">
        <v>23</v>
      </c>
      <c r="D29" s="62" t="s">
        <v>31</v>
      </c>
      <c r="E29" s="66" t="s">
        <v>32</v>
      </c>
      <c r="F29" s="67" t="s">
        <v>33</v>
      </c>
    </row>
    <row r="30" spans="2:9" x14ac:dyDescent="0.25">
      <c r="C30" s="58">
        <v>10</v>
      </c>
      <c r="D30" s="63">
        <f>$D$19*C30+$D$20</f>
        <v>3.2648018292682917</v>
      </c>
      <c r="E30" s="78">
        <v>3.3</v>
      </c>
      <c r="F30" s="68">
        <f>E30-D30</f>
        <v>3.5198170731708167E-2</v>
      </c>
    </row>
    <row r="31" spans="2:9" x14ac:dyDescent="0.25">
      <c r="C31" s="50">
        <v>15</v>
      </c>
      <c r="D31" s="64">
        <f t="shared" ref="D31:D36" si="0">$D$19*C31+$D$20</f>
        <v>3.1945121951219502</v>
      </c>
      <c r="E31" s="79">
        <v>3.1</v>
      </c>
      <c r="F31" s="69">
        <f t="shared" ref="F31:F36" si="1">E31-D31</f>
        <v>-9.4512195121950082E-2</v>
      </c>
    </row>
    <row r="32" spans="2:9" x14ac:dyDescent="0.25">
      <c r="C32" s="50">
        <v>35</v>
      </c>
      <c r="D32" s="64">
        <f t="shared" si="0"/>
        <v>2.9133536585365847</v>
      </c>
      <c r="E32" s="79">
        <v>3.05</v>
      </c>
      <c r="F32" s="69">
        <f t="shared" si="1"/>
        <v>0.13664634146341514</v>
      </c>
    </row>
    <row r="33" spans="3:6" x14ac:dyDescent="0.25">
      <c r="C33" s="50">
        <v>40</v>
      </c>
      <c r="D33" s="64">
        <f t="shared" si="0"/>
        <v>2.8430640243902432</v>
      </c>
      <c r="E33" s="79">
        <v>2.88</v>
      </c>
      <c r="F33" s="69">
        <f t="shared" si="1"/>
        <v>3.6935975609756699E-2</v>
      </c>
    </row>
    <row r="34" spans="3:6" x14ac:dyDescent="0.25">
      <c r="C34" s="50">
        <v>50</v>
      </c>
      <c r="D34" s="64">
        <f t="shared" si="0"/>
        <v>2.7024847560975602</v>
      </c>
      <c r="E34" s="79">
        <v>2.57</v>
      </c>
      <c r="F34" s="69">
        <f t="shared" si="1"/>
        <v>-0.13248475609756039</v>
      </c>
    </row>
    <row r="35" spans="3:6" x14ac:dyDescent="0.25">
      <c r="C35" s="50">
        <v>65</v>
      </c>
      <c r="D35" s="64">
        <f t="shared" si="0"/>
        <v>2.4916158536585358</v>
      </c>
      <c r="E35" s="79">
        <v>2.5</v>
      </c>
      <c r="F35" s="69">
        <f t="shared" si="1"/>
        <v>8.384146341464227E-3</v>
      </c>
    </row>
    <row r="36" spans="3:6" ht="15.75" thickBot="1" x14ac:dyDescent="0.3">
      <c r="C36" s="52">
        <v>90</v>
      </c>
      <c r="D36" s="65">
        <f t="shared" si="0"/>
        <v>2.1401676829268288</v>
      </c>
      <c r="E36" s="80">
        <v>2.15</v>
      </c>
      <c r="F36" s="70">
        <f t="shared" si="1"/>
        <v>9.8323170731711151E-3</v>
      </c>
    </row>
    <row r="37" spans="3:6" ht="15.75" thickBot="1" x14ac:dyDescent="0.3">
      <c r="E37" s="54" t="s">
        <v>29</v>
      </c>
      <c r="F37" s="57" cm="1">
        <f t="array" ref="F37">MAX(ABS(F30:F36))</f>
        <v>0.13664634146341514</v>
      </c>
    </row>
  </sheetData>
  <mergeCells count="5">
    <mergeCell ref="B1:DC4"/>
    <mergeCell ref="D7:D9"/>
    <mergeCell ref="C7:C9"/>
    <mergeCell ref="B24:I24"/>
    <mergeCell ref="B25:I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Deflection Analysis</vt:lpstr>
      <vt:lpstr>Heat Transfer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Haberkorn</dc:creator>
  <cp:lastModifiedBy>David Haberkorn</cp:lastModifiedBy>
  <dcterms:created xsi:type="dcterms:W3CDTF">2025-09-24T20:12:17Z</dcterms:created>
  <dcterms:modified xsi:type="dcterms:W3CDTF">2025-09-24T21:33:58Z</dcterms:modified>
</cp:coreProperties>
</file>