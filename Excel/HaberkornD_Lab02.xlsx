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dhaberk1_uwyo_edu/Documents/Classes/Intro to Engineering Problem Solving/"/>
    </mc:Choice>
  </mc:AlternateContent>
  <xr:revisionPtr revIDLastSave="673" documentId="8_{59F117C8-A785-49F5-BA0D-096681572EDE}" xr6:coauthVersionLast="47" xr6:coauthVersionMax="47" xr10:uidLastSave="{8AFE3E0D-875E-4F45-A600-FA69C64342DE}"/>
  <bookViews>
    <workbookView xWindow="-105" yWindow="0" windowWidth="26010" windowHeight="20985" activeTab="2" xr2:uid="{E944C9CD-4947-4920-A347-A8BC24E76BF0}"/>
  </bookViews>
  <sheets>
    <sheet name="Heading" sheetId="1" r:id="rId1"/>
    <sheet name="Financial Analysis" sheetId="2" r:id="rId2"/>
    <sheet name="Projectile Mo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11" i="3"/>
  <c r="L17" i="3"/>
  <c r="E23" i="3"/>
  <c r="E11" i="3"/>
  <c r="E12" i="3"/>
  <c r="E13" i="3"/>
  <c r="E14" i="3"/>
  <c r="E15" i="3"/>
  <c r="E16" i="3"/>
  <c r="E17" i="3"/>
  <c r="E18" i="3"/>
  <c r="E19" i="3"/>
  <c r="E20" i="3"/>
  <c r="E21" i="3"/>
  <c r="E22" i="3"/>
  <c r="E24" i="3"/>
  <c r="E25" i="3"/>
  <c r="E26" i="3"/>
  <c r="E27" i="3"/>
  <c r="E28" i="3"/>
  <c r="E29" i="3"/>
  <c r="E30" i="3"/>
  <c r="E31" i="3"/>
  <c r="E13" i="2"/>
  <c r="E31" i="2"/>
  <c r="F31" i="2"/>
  <c r="G31" i="2"/>
  <c r="H31" i="2"/>
  <c r="I31" i="2"/>
  <c r="J31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E37" i="2"/>
  <c r="F37" i="2"/>
  <c r="G37" i="2"/>
  <c r="H37" i="2"/>
  <c r="I37" i="2"/>
  <c r="J37" i="2"/>
  <c r="E38" i="2"/>
  <c r="F38" i="2"/>
  <c r="G38" i="2"/>
  <c r="H38" i="2"/>
  <c r="I38" i="2"/>
  <c r="J38" i="2"/>
  <c r="E39" i="2"/>
  <c r="F39" i="2"/>
  <c r="G39" i="2"/>
  <c r="H39" i="2"/>
  <c r="I39" i="2"/>
  <c r="J39" i="2"/>
  <c r="E40" i="2"/>
  <c r="F40" i="2"/>
  <c r="G40" i="2"/>
  <c r="H40" i="2"/>
  <c r="I40" i="2"/>
  <c r="J40" i="2"/>
  <c r="E41" i="2"/>
  <c r="F41" i="2"/>
  <c r="G41" i="2"/>
  <c r="H41" i="2"/>
  <c r="I41" i="2"/>
  <c r="J41" i="2"/>
  <c r="E42" i="2"/>
  <c r="F42" i="2"/>
  <c r="G42" i="2"/>
  <c r="H42" i="2"/>
  <c r="I42" i="2"/>
  <c r="J42" i="2"/>
  <c r="F30" i="2"/>
  <c r="G30" i="2"/>
  <c r="H30" i="2"/>
  <c r="I30" i="2"/>
  <c r="J30" i="2"/>
  <c r="E30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F13" i="2"/>
  <c r="G13" i="2"/>
  <c r="H13" i="2"/>
  <c r="I13" i="2"/>
  <c r="J13" i="2"/>
  <c r="L18" i="3"/>
  <c r="G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Haberkorn</author>
  </authors>
  <commentList>
    <comment ref="J15" authorId="0" shapeId="0" xr:uid="{DDB3EDBB-17D2-4C92-A936-B4029415D7C7}">
      <text>
        <r>
          <rPr>
            <b/>
            <sz val="9"/>
            <color indexed="81"/>
            <rFont val="Tahoma"/>
            <family val="2"/>
          </rPr>
          <t>David Haberkorn:</t>
        </r>
        <r>
          <rPr>
            <sz val="9"/>
            <color indexed="81"/>
            <rFont val="Tahoma"/>
            <family val="2"/>
          </rPr>
          <t xml:space="preserve">
Edit these cells with starting conditions
</t>
        </r>
      </text>
    </comment>
    <comment ref="L17" authorId="0" shapeId="0" xr:uid="{551529F9-1799-4636-BDBD-518B2D3540ED}">
      <text>
        <r>
          <rPr>
            <b/>
            <sz val="9"/>
            <color indexed="81"/>
            <rFont val="Tahoma"/>
            <family val="2"/>
          </rPr>
          <t>David Haberkorn:</t>
        </r>
        <r>
          <rPr>
            <sz val="9"/>
            <color indexed="81"/>
            <rFont val="Tahoma"/>
            <family val="2"/>
          </rPr>
          <t xml:space="preserve">
DON’T EDIT THESE CELLS
</t>
        </r>
      </text>
    </comment>
  </commentList>
</comments>
</file>

<file path=xl/sharedStrings.xml><?xml version="1.0" encoding="utf-8"?>
<sst xmlns="http://schemas.openxmlformats.org/spreadsheetml/2006/main" count="27" uniqueCount="25">
  <si>
    <t>David Haberkorn - ES1016 - 17 Sept 2025 - Lab 02</t>
  </si>
  <si>
    <t>Financial Analysis Problem</t>
  </si>
  <si>
    <t>Interest Rate</t>
  </si>
  <si>
    <t>Months</t>
  </si>
  <si>
    <t>PMT</t>
  </si>
  <si>
    <t>Projectile Motion Analysis Problem</t>
  </si>
  <si>
    <t>Decription: Calculating the projectile motion of a football</t>
  </si>
  <si>
    <t>Point</t>
  </si>
  <si>
    <t>The two angles to a hit a golf ball with a velocity of 100 ft/s at in order to land the ball at 100 yards are approximately 37.5 degrees and 52.25 degrees.</t>
  </si>
  <si>
    <t>When firing a 2400fps rifle horizontally, the vertical drop after 150 yards is approximately 0.57 feet. I assumed nothing and just graphed to solve for the y value when x = 450 (150 yards, converted to feet)</t>
  </si>
  <si>
    <t>Time (s)</t>
  </si>
  <si>
    <t>x-coord (ft)</t>
  </si>
  <si>
    <t xml:space="preserve">y-coord (ft) </t>
  </si>
  <si>
    <t>x_0 (ft)</t>
  </si>
  <si>
    <t>y_0 (ft)</t>
  </si>
  <si>
    <t>v_o (ft/s)</t>
  </si>
  <si>
    <t>\theta (degrees)</t>
  </si>
  <si>
    <t>a_x (ft/s^2)</t>
  </si>
  <si>
    <t>a_y (ft/s^2)</t>
  </si>
  <si>
    <t>t_n (s)</t>
  </si>
  <si>
    <t>v_0x (ft/s)</t>
  </si>
  <si>
    <t>v_0y (ft/s)</t>
  </si>
  <si>
    <t>Decription: Calculating interest over time periods</t>
  </si>
  <si>
    <t>Loan Amount (Dollars)</t>
  </si>
  <si>
    <t>A Football Player can kick a ball at a velocity of 60 ft/s. The maximum possible field goal length is about 100.5 feet.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</si>
</sst>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00"/>
    <numFmt numFmtId="169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4E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0" fontId="0" fillId="0" borderId="0" xfId="0" applyNumberFormat="1"/>
    <xf numFmtId="9" fontId="0" fillId="0" borderId="0" xfId="0" applyNumberFormat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164" fontId="2" fillId="2" borderId="3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9" fontId="0" fillId="3" borderId="1" xfId="0" applyNumberFormat="1" applyFill="1" applyBorder="1"/>
    <xf numFmtId="169" fontId="0" fillId="4" borderId="1" xfId="0" applyNumberFormat="1" applyFill="1" applyBorder="1"/>
    <xf numFmtId="0" fontId="2" fillId="2" borderId="1" xfId="0" applyFont="1" applyFill="1" applyBorder="1" applyAlignment="1">
      <alignment vertical="center" textRotation="90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 textRotation="90"/>
    </xf>
    <xf numFmtId="164" fontId="2" fillId="5" borderId="1" xfId="1" applyNumberFormat="1" applyFont="1" applyFill="1" applyBorder="1" applyAlignment="1">
      <alignment horizontal="center"/>
    </xf>
    <xf numFmtId="164" fontId="2" fillId="5" borderId="3" xfId="1" applyNumberFormat="1" applyFont="1" applyFill="1" applyBorder="1" applyAlignment="1">
      <alignment horizontal="center"/>
    </xf>
    <xf numFmtId="169" fontId="0" fillId="6" borderId="1" xfId="0" applyNumberFormat="1" applyFill="1" applyBorder="1"/>
    <xf numFmtId="169" fontId="0" fillId="7" borderId="1" xfId="0" applyNumberFormat="1" applyFill="1" applyBorder="1"/>
    <xf numFmtId="2" fontId="0" fillId="9" borderId="1" xfId="0" applyNumberFormat="1" applyFill="1" applyBorder="1"/>
    <xf numFmtId="0" fontId="6" fillId="9" borderId="1" xfId="0" applyFont="1" applyFill="1" applyBorder="1"/>
    <xf numFmtId="2" fontId="0" fillId="9" borderId="1" xfId="0" applyNumberFormat="1" applyFont="1" applyFill="1" applyBorder="1"/>
    <xf numFmtId="0" fontId="7" fillId="8" borderId="1" xfId="0" applyFont="1" applyFill="1" applyBorder="1"/>
    <xf numFmtId="166" fontId="2" fillId="10" borderId="1" xfId="0" applyNumberFormat="1" applyFont="1" applyFill="1" applyBorder="1"/>
    <xf numFmtId="0" fontId="2" fillId="8" borderId="1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AB4E5"/>
      <color rgb="FFECB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Projectile</a:t>
            </a:r>
            <a:r>
              <a:rPr lang="en-US" baseline="0"/>
              <a:t> 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9254626753747E-2"/>
          <c:y val="0.13559739185610584"/>
          <c:w val="0.86497501245180175"/>
          <c:h val="0.735857903935842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'Projectile Motion'!$G$10</c:f>
              <c:strCache>
                <c:ptCount val="1"/>
                <c:pt idx="0">
                  <c:v>y-coord (ft)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'Projectile Motion'!$F$11:$F$31</c:f>
              <c:numCache>
                <c:formatCode>0.00</c:formatCode>
                <c:ptCount val="21"/>
                <c:pt idx="0">
                  <c:v>-300</c:v>
                </c:pt>
                <c:pt idx="1">
                  <c:v>-284.69456799913877</c:v>
                </c:pt>
                <c:pt idx="2">
                  <c:v>-269.38913599827754</c:v>
                </c:pt>
                <c:pt idx="3">
                  <c:v>-254.08370399741631</c:v>
                </c:pt>
                <c:pt idx="4">
                  <c:v>-238.77827199655508</c:v>
                </c:pt>
                <c:pt idx="5">
                  <c:v>-223.47283999569385</c:v>
                </c:pt>
                <c:pt idx="6">
                  <c:v>-208.16740799483262</c:v>
                </c:pt>
                <c:pt idx="7">
                  <c:v>-192.86197599397138</c:v>
                </c:pt>
                <c:pt idx="8">
                  <c:v>-177.55654399311015</c:v>
                </c:pt>
                <c:pt idx="9">
                  <c:v>-162.25111199224889</c:v>
                </c:pt>
                <c:pt idx="10">
                  <c:v>-146.94567999138766</c:v>
                </c:pt>
                <c:pt idx="11">
                  <c:v>-131.64024799052643</c:v>
                </c:pt>
                <c:pt idx="12">
                  <c:v>-116.3348159896652</c:v>
                </c:pt>
                <c:pt idx="13">
                  <c:v>-101.02938398880397</c:v>
                </c:pt>
                <c:pt idx="14">
                  <c:v>-85.723951987942741</c:v>
                </c:pt>
                <c:pt idx="15">
                  <c:v>-70.41851998708151</c:v>
                </c:pt>
                <c:pt idx="16">
                  <c:v>-55.113087986220279</c:v>
                </c:pt>
                <c:pt idx="17">
                  <c:v>-39.80765598535902</c:v>
                </c:pt>
                <c:pt idx="18">
                  <c:v>-24.502223984497789</c:v>
                </c:pt>
                <c:pt idx="19">
                  <c:v>-9.1967919836365581</c:v>
                </c:pt>
                <c:pt idx="20">
                  <c:v>6.1086400172246726</c:v>
                </c:pt>
              </c:numCache>
            </c:numRef>
          </c:xVal>
          <c:yVal>
            <c:numRef>
              <c:f>'Projectile Motion'!$G$11:$G$31</c:f>
              <c:numCache>
                <c:formatCode>0.00</c:formatCode>
                <c:ptCount val="21"/>
                <c:pt idx="0">
                  <c:v>0</c:v>
                </c:pt>
                <c:pt idx="1">
                  <c:v>18.76098934359608</c:v>
                </c:pt>
                <c:pt idx="2">
                  <c:v>35.509478687192164</c:v>
                </c:pt>
                <c:pt idx="3">
                  <c:v>50.245468030788246</c:v>
                </c:pt>
                <c:pt idx="4">
                  <c:v>62.968957374384324</c:v>
                </c:pt>
                <c:pt idx="5">
                  <c:v>73.679946717980414</c:v>
                </c:pt>
                <c:pt idx="6">
                  <c:v>82.37843606157648</c:v>
                </c:pt>
                <c:pt idx="7">
                  <c:v>89.064425405172557</c:v>
                </c:pt>
                <c:pt idx="8">
                  <c:v>93.737914748768645</c:v>
                </c:pt>
                <c:pt idx="9">
                  <c:v>96.398904092364731</c:v>
                </c:pt>
                <c:pt idx="10">
                  <c:v>97.047393435960814</c:v>
                </c:pt>
                <c:pt idx="11">
                  <c:v>95.683382779556879</c:v>
                </c:pt>
                <c:pt idx="12">
                  <c:v>92.306872123152971</c:v>
                </c:pt>
                <c:pt idx="13">
                  <c:v>86.917861466749031</c:v>
                </c:pt>
                <c:pt idx="14">
                  <c:v>79.516350810345102</c:v>
                </c:pt>
                <c:pt idx="15">
                  <c:v>70.102340153941185</c:v>
                </c:pt>
                <c:pt idx="16">
                  <c:v>58.675829497537279</c:v>
                </c:pt>
                <c:pt idx="17">
                  <c:v>45.236818841133356</c:v>
                </c:pt>
                <c:pt idx="18">
                  <c:v>29.785308184729445</c:v>
                </c:pt>
                <c:pt idx="19">
                  <c:v>12.321297528325545</c:v>
                </c:pt>
                <c:pt idx="20">
                  <c:v>-7.155213128078401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46-4E55-9AC5-5E90E31FF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15951"/>
        <c:axId val="368517391"/>
      </c:scatterChart>
      <c:valAx>
        <c:axId val="36851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7391"/>
        <c:crosses val="autoZero"/>
        <c:crossBetween val="midCat"/>
      </c:valAx>
      <c:valAx>
        <c:axId val="3685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5</xdr:row>
      <xdr:rowOff>33336</xdr:rowOff>
    </xdr:from>
    <xdr:ext cx="2200275" cy="34804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9751FD-380F-C005-5C41-BE378C5D348A}"/>
                </a:ext>
              </a:extLst>
            </xdr:cNvPr>
            <xdr:cNvSpPr txBox="1"/>
          </xdr:nvSpPr>
          <xdr:spPr>
            <a:xfrm>
              <a:off x="3448050" y="795336"/>
              <a:ext cx="2200275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𝑟𝐴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9751FD-380F-C005-5C41-BE378C5D348A}"/>
                </a:ext>
              </a:extLst>
            </xdr:cNvPr>
            <xdr:cNvSpPr txBox="1"/>
          </xdr:nvSpPr>
          <xdr:spPr>
            <a:xfrm>
              <a:off x="3448050" y="795336"/>
              <a:ext cx="2200275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𝑃=  𝑟𝐴/(1−〖(1+𝑟)〗^(−𝑛) )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15</xdr:row>
      <xdr:rowOff>66675</xdr:rowOff>
    </xdr:from>
    <xdr:to>
      <xdr:col>20</xdr:col>
      <xdr:colOff>171450</xdr:colOff>
      <xdr:row>31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0174C-4D51-3FA2-949C-28850F4B1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65E8-06AB-45A7-BBAC-D250256F054F}">
  <dimension ref="A1:T2"/>
  <sheetViews>
    <sheetView workbookViewId="0">
      <selection activeCell="B6" sqref="B6"/>
    </sheetView>
  </sheetViews>
  <sheetFormatPr defaultRowHeight="15" x14ac:dyDescent="0.25"/>
  <sheetData>
    <row r="1" spans="1:2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  <c r="S1" s="1"/>
      <c r="T1" s="1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1"/>
      <c r="T2" s="1"/>
    </row>
  </sheetData>
  <mergeCells count="1">
    <mergeCell ref="A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9ED3-5FE6-4DB2-BDEA-60CB5F809AC6}">
  <dimension ref="A1:Q42"/>
  <sheetViews>
    <sheetView workbookViewId="0">
      <selection activeCell="N8" sqref="N8"/>
    </sheetView>
  </sheetViews>
  <sheetFormatPr defaultRowHeight="15" x14ac:dyDescent="0.25"/>
  <cols>
    <col min="2" max="2" width="9.140625" customWidth="1"/>
    <col min="3" max="3" width="3.28515625" customWidth="1"/>
  </cols>
  <sheetData>
    <row r="1" spans="1:17" x14ac:dyDescent="0.25">
      <c r="A1" s="4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25">
      <c r="A3" s="15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7"/>
    </row>
    <row r="4" spans="1:17" ht="6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7"/>
    </row>
    <row r="5" spans="1:17" ht="2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7"/>
    </row>
    <row r="6" spans="1:17" x14ac:dyDescent="0.25">
      <c r="D6" s="14" t="s">
        <v>23</v>
      </c>
      <c r="E6" s="14"/>
      <c r="F6" s="14"/>
    </row>
    <row r="7" spans="1:17" x14ac:dyDescent="0.25">
      <c r="D7" s="32">
        <v>35000</v>
      </c>
      <c r="E7" s="33"/>
      <c r="F7" s="34"/>
    </row>
    <row r="11" spans="1:17" x14ac:dyDescent="0.25">
      <c r="E11" s="14" t="s">
        <v>3</v>
      </c>
      <c r="F11" s="14"/>
      <c r="G11" s="14"/>
      <c r="H11" s="14"/>
      <c r="I11" s="14"/>
      <c r="J11" s="14"/>
    </row>
    <row r="12" spans="1:17" x14ac:dyDescent="0.25">
      <c r="D12" s="7"/>
      <c r="E12" s="8">
        <v>12</v>
      </c>
      <c r="F12" s="8">
        <v>24</v>
      </c>
      <c r="G12" s="8">
        <v>36</v>
      </c>
      <c r="H12" s="8">
        <v>48</v>
      </c>
      <c r="I12" s="8">
        <v>60</v>
      </c>
      <c r="J12" s="8">
        <v>72</v>
      </c>
      <c r="K12" s="5"/>
      <c r="L12" s="6"/>
      <c r="M12" s="5"/>
      <c r="N12" s="6"/>
      <c r="O12" s="5"/>
      <c r="P12" s="6"/>
      <c r="Q12" s="5"/>
    </row>
    <row r="13" spans="1:17" x14ac:dyDescent="0.25">
      <c r="C13" s="13" t="s">
        <v>2</v>
      </c>
      <c r="D13" s="10">
        <v>8.5000000000000006E-2</v>
      </c>
      <c r="E13" s="11">
        <f>($D13/12*$D$7) / (1- ((1+$D13/12)^(-E$12)) )</f>
        <v>3052.6923861032346</v>
      </c>
      <c r="F13" s="12">
        <f t="shared" ref="F13:J25" si="0">($D13/12*$D$7) / (1- ((1+$D13/12)^(-F$12)) )</f>
        <v>1590.9486208485075</v>
      </c>
      <c r="G13" s="11">
        <f t="shared" si="0"/>
        <v>1104.8638098245062</v>
      </c>
      <c r="H13" s="12">
        <f t="shared" si="0"/>
        <v>862.69061755924747</v>
      </c>
      <c r="I13" s="11">
        <f t="shared" si="0"/>
        <v>718.07859644679183</v>
      </c>
      <c r="J13" s="12">
        <f t="shared" si="0"/>
        <v>622.24346153444458</v>
      </c>
    </row>
    <row r="14" spans="1:17" x14ac:dyDescent="0.25">
      <c r="C14" s="13"/>
      <c r="D14" s="10">
        <v>0.09</v>
      </c>
      <c r="E14" s="11">
        <f t="shared" ref="E14:E25" si="1">($D14/12*$D$7) / (1- ((1+$D14/12)^(-E$12)) )</f>
        <v>3060.8016869472153</v>
      </c>
      <c r="F14" s="12">
        <f t="shared" si="0"/>
        <v>1598.9659797710415</v>
      </c>
      <c r="G14" s="11">
        <f t="shared" si="0"/>
        <v>1112.9906430979131</v>
      </c>
      <c r="H14" s="12">
        <f t="shared" si="0"/>
        <v>870.97648308768919</v>
      </c>
      <c r="I14" s="11">
        <f t="shared" si="0"/>
        <v>726.54243292238368</v>
      </c>
      <c r="J14" s="12">
        <f t="shared" si="0"/>
        <v>630.89380088950884</v>
      </c>
    </row>
    <row r="15" spans="1:17" x14ac:dyDescent="0.25">
      <c r="C15" s="13"/>
      <c r="D15" s="10">
        <v>9.5000000000000001E-2</v>
      </c>
      <c r="E15" s="11">
        <f t="shared" si="1"/>
        <v>3068.9229120899686</v>
      </c>
      <c r="F15" s="12">
        <f t="shared" si="0"/>
        <v>1607.0072546124061</v>
      </c>
      <c r="G15" s="11">
        <f t="shared" si="0"/>
        <v>1121.1532409273718</v>
      </c>
      <c r="H15" s="12">
        <f t="shared" si="0"/>
        <v>879.30978348275914</v>
      </c>
      <c r="I15" s="11">
        <f t="shared" si="0"/>
        <v>735.06514584005049</v>
      </c>
      <c r="J15" s="12">
        <f t="shared" si="0"/>
        <v>639.61417846501365</v>
      </c>
    </row>
    <row r="16" spans="1:17" x14ac:dyDescent="0.25">
      <c r="C16" s="13"/>
      <c r="D16" s="10">
        <v>0.1</v>
      </c>
      <c r="E16" s="11">
        <f t="shared" si="1"/>
        <v>3077.0560530503453</v>
      </c>
      <c r="F16" s="12">
        <f t="shared" si="0"/>
        <v>1615.0724218130845</v>
      </c>
      <c r="G16" s="11">
        <f t="shared" si="0"/>
        <v>1129.3515517843166</v>
      </c>
      <c r="H16" s="12">
        <f t="shared" si="0"/>
        <v>887.69042021615508</v>
      </c>
      <c r="I16" s="11">
        <f t="shared" si="0"/>
        <v>743.64656489439221</v>
      </c>
      <c r="J16" s="12">
        <f t="shared" si="0"/>
        <v>648.40432215196893</v>
      </c>
    </row>
    <row r="17" spans="3:10" x14ac:dyDescent="0.25">
      <c r="C17" s="13"/>
      <c r="D17" s="10">
        <v>0.105</v>
      </c>
      <c r="E17" s="11">
        <f t="shared" si="1"/>
        <v>3085.2011012985845</v>
      </c>
      <c r="F17" s="12">
        <f t="shared" si="0"/>
        <v>1623.1614573779937</v>
      </c>
      <c r="G17" s="11">
        <f t="shared" si="0"/>
        <v>1137.5855226640331</v>
      </c>
      <c r="H17" s="12">
        <f t="shared" si="0"/>
        <v>896.11829131663433</v>
      </c>
      <c r="I17" s="11">
        <f t="shared" si="0"/>
        <v>752.28651323410588</v>
      </c>
      <c r="J17" s="12">
        <f t="shared" si="0"/>
        <v>657.26394892547626</v>
      </c>
    </row>
    <row r="18" spans="3:10" x14ac:dyDescent="0.25">
      <c r="C18" s="13"/>
      <c r="D18" s="10">
        <v>0.11</v>
      </c>
      <c r="E18" s="11">
        <f t="shared" si="1"/>
        <v>3093.3580482561069</v>
      </c>
      <c r="F18" s="12">
        <f t="shared" si="0"/>
        <v>1631.2743368783622</v>
      </c>
      <c r="G18" s="11">
        <f t="shared" si="0"/>
        <v>1145.8550990950614</v>
      </c>
      <c r="H18" s="12">
        <f t="shared" si="0"/>
        <v>904.59329140084117</v>
      </c>
      <c r="I18" s="11">
        <f t="shared" si="0"/>
        <v>760.98480754251</v>
      </c>
      <c r="J18" s="12">
        <f t="shared" si="0"/>
        <v>666.19276502469836</v>
      </c>
    </row>
    <row r="19" spans="3:10" x14ac:dyDescent="0.25">
      <c r="C19" s="13"/>
      <c r="D19" s="10">
        <v>0.115</v>
      </c>
      <c r="E19" s="11">
        <f t="shared" si="1"/>
        <v>3101.5268852957729</v>
      </c>
      <c r="F19" s="12">
        <f t="shared" si="0"/>
        <v>1639.4110354537781</v>
      </c>
      <c r="G19" s="11">
        <f t="shared" si="0"/>
        <v>1154.1602251488787</v>
      </c>
      <c r="H19" s="12">
        <f t="shared" si="0"/>
        <v>913.11531170500916</v>
      </c>
      <c r="I19" s="11">
        <f t="shared" si="0"/>
        <v>769.74125812046464</v>
      </c>
      <c r="J19" s="12">
        <f t="shared" si="0"/>
        <v>675.19046613820797</v>
      </c>
    </row>
    <row r="20" spans="3:10" x14ac:dyDescent="0.25">
      <c r="C20" s="13"/>
      <c r="D20" s="10">
        <v>0.12</v>
      </c>
      <c r="E20" s="11">
        <f t="shared" si="1"/>
        <v>3109.7076037419592</v>
      </c>
      <c r="F20" s="12">
        <f t="shared" si="0"/>
        <v>1647.5715278142627</v>
      </c>
      <c r="G20" s="11">
        <f t="shared" si="0"/>
        <v>1162.5008434497909</v>
      </c>
      <c r="H20" s="12">
        <f t="shared" si="0"/>
        <v>921.68424011747106</v>
      </c>
      <c r="I20" s="11">
        <f t="shared" si="0"/>
        <v>778.55566897156166</v>
      </c>
      <c r="J20" s="12">
        <f t="shared" si="0"/>
        <v>684.25673759446613</v>
      </c>
    </row>
    <row r="21" spans="3:10" x14ac:dyDescent="0.25">
      <c r="C21" s="13"/>
      <c r="D21" s="10">
        <v>0.125</v>
      </c>
      <c r="E21" s="11">
        <f t="shared" si="1"/>
        <v>3117.9001948709988</v>
      </c>
      <c r="F21" s="12">
        <f t="shared" si="0"/>
        <v>1655.7557882424769</v>
      </c>
      <c r="G21" s="11">
        <f t="shared" si="0"/>
        <v>1170.8768951850743</v>
      </c>
      <c r="H21" s="12">
        <f t="shared" si="0"/>
        <v>930.29996121198849</v>
      </c>
      <c r="I21" s="11">
        <f t="shared" si="0"/>
        <v>787.42783788955205</v>
      </c>
      <c r="J21" s="12">
        <f t="shared" si="0"/>
        <v>693.39125455722524</v>
      </c>
    </row>
    <row r="22" spans="3:10" x14ac:dyDescent="0.25">
      <c r="C22" s="13"/>
      <c r="D22" s="10">
        <v>0.13</v>
      </c>
      <c r="E22" s="11">
        <f t="shared" si="1"/>
        <v>3126.1046499112258</v>
      </c>
      <c r="F22" s="12">
        <f t="shared" si="0"/>
        <v>1663.9637905957927</v>
      </c>
      <c r="G22" s="11">
        <f t="shared" si="0"/>
        <v>1179.2883201152165</v>
      </c>
      <c r="H22" s="12">
        <f t="shared" si="0"/>
        <v>938.96235628177487</v>
      </c>
      <c r="I22" s="11">
        <f t="shared" si="0"/>
        <v>796.35755654784339</v>
      </c>
      <c r="J22" s="12">
        <f t="shared" si="0"/>
        <v>702.59368222556236</v>
      </c>
    </row>
    <row r="23" spans="3:10" x14ac:dyDescent="0.25">
      <c r="C23" s="13"/>
      <c r="D23" s="10">
        <v>0.13500000000000001</v>
      </c>
      <c r="E23" s="11">
        <f t="shared" si="1"/>
        <v>3134.3209600430823</v>
      </c>
      <c r="F23" s="12">
        <f t="shared" si="0"/>
        <v>1672.1955083083988</v>
      </c>
      <c r="G23" s="11">
        <f t="shared" si="0"/>
        <v>1187.7350565843367</v>
      </c>
      <c r="H23" s="12">
        <f t="shared" si="0"/>
        <v>947.67130337425738</v>
      </c>
      <c r="I23" s="11">
        <f t="shared" si="0"/>
        <v>805.34461059104763</v>
      </c>
      <c r="J23" s="12">
        <f t="shared" si="0"/>
        <v>711.86367603835561</v>
      </c>
    </row>
    <row r="24" spans="3:10" x14ac:dyDescent="0.25">
      <c r="C24" s="13"/>
      <c r="D24" s="10">
        <v>0.14000000000000001</v>
      </c>
      <c r="E24" s="11">
        <f t="shared" si="1"/>
        <v>3142.5491163994625</v>
      </c>
      <c r="F24" s="12">
        <f t="shared" si="0"/>
        <v>1680.45091439358</v>
      </c>
      <c r="G24" s="11">
        <f t="shared" si="0"/>
        <v>1196.2170415308938</v>
      </c>
      <c r="H24" s="12">
        <f t="shared" si="0"/>
        <v>956.42667732663972</v>
      </c>
      <c r="I24" s="11">
        <f t="shared" si="0"/>
        <v>814.38877972856767</v>
      </c>
      <c r="J24" s="12">
        <f t="shared" si="0"/>
        <v>721.20088188302088</v>
      </c>
    </row>
    <row r="25" spans="3:10" x14ac:dyDescent="0.25">
      <c r="C25" s="13"/>
      <c r="D25" s="9">
        <v>0.14499999999999999</v>
      </c>
      <c r="E25" s="11">
        <f t="shared" si="1"/>
        <v>3150.7891100659135</v>
      </c>
      <c r="F25" s="12">
        <f t="shared" si="0"/>
        <v>1688.7299814459016</v>
      </c>
      <c r="G25" s="11">
        <f t="shared" si="0"/>
        <v>1204.7342104984953</v>
      </c>
      <c r="H25" s="12">
        <f t="shared" si="0"/>
        <v>965.2283498021103</v>
      </c>
      <c r="I25" s="11">
        <f t="shared" si="0"/>
        <v>823.48983783004076</v>
      </c>
      <c r="J25" s="12">
        <f t="shared" si="0"/>
        <v>730.60493630819167</v>
      </c>
    </row>
    <row r="28" spans="3:10" x14ac:dyDescent="0.25">
      <c r="E28" s="19" t="s">
        <v>3</v>
      </c>
      <c r="F28" s="19"/>
      <c r="G28" s="19"/>
      <c r="H28" s="19"/>
      <c r="I28" s="19"/>
      <c r="J28" s="19"/>
    </row>
    <row r="29" spans="3:10" x14ac:dyDescent="0.25">
      <c r="D29" s="7" t="s">
        <v>4</v>
      </c>
      <c r="E29" s="20">
        <v>12</v>
      </c>
      <c r="F29" s="20">
        <v>24</v>
      </c>
      <c r="G29" s="20">
        <v>36</v>
      </c>
      <c r="H29" s="20">
        <v>48</v>
      </c>
      <c r="I29" s="20">
        <v>60</v>
      </c>
      <c r="J29" s="20">
        <v>72</v>
      </c>
    </row>
    <row r="30" spans="3:10" x14ac:dyDescent="0.25">
      <c r="C30" s="21" t="s">
        <v>2</v>
      </c>
      <c r="D30" s="22">
        <v>8.5000000000000006E-2</v>
      </c>
      <c r="E30" s="24">
        <f>-PMT($D30/12, E$29, $D$7)</f>
        <v>3052.6923861032456</v>
      </c>
      <c r="F30" s="25">
        <f t="shared" ref="F30:J42" si="2">-PMT($D30/12, F$29, $D$7)</f>
        <v>1590.9486208485114</v>
      </c>
      <c r="G30" s="24">
        <f t="shared" si="2"/>
        <v>1104.863809824509</v>
      </c>
      <c r="H30" s="25">
        <f t="shared" si="2"/>
        <v>862.69061755924986</v>
      </c>
      <c r="I30" s="24">
        <f t="shared" si="2"/>
        <v>718.07859644679377</v>
      </c>
      <c r="J30" s="25">
        <f t="shared" si="2"/>
        <v>622.24346153444606</v>
      </c>
    </row>
    <row r="31" spans="3:10" x14ac:dyDescent="0.25">
      <c r="C31" s="21"/>
      <c r="D31" s="22">
        <v>0.09</v>
      </c>
      <c r="E31" s="24">
        <f t="shared" ref="E31:E42" si="3">-PMT($D31/12, E$29, $D$7)</f>
        <v>3060.8016869472499</v>
      </c>
      <c r="F31" s="25">
        <f t="shared" si="2"/>
        <v>1598.9659797710583</v>
      </c>
      <c r="G31" s="24">
        <f t="shared" si="2"/>
        <v>1112.990643097924</v>
      </c>
      <c r="H31" s="25">
        <f t="shared" si="2"/>
        <v>870.97648308769726</v>
      </c>
      <c r="I31" s="24">
        <f t="shared" si="2"/>
        <v>726.54243292239028</v>
      </c>
      <c r="J31" s="25">
        <f t="shared" si="2"/>
        <v>630.89380088951407</v>
      </c>
    </row>
    <row r="32" spans="3:10" x14ac:dyDescent="0.25">
      <c r="C32" s="21"/>
      <c r="D32" s="22">
        <v>9.5000000000000001E-2</v>
      </c>
      <c r="E32" s="24">
        <f t="shared" si="3"/>
        <v>3068.9229120899267</v>
      </c>
      <c r="F32" s="25">
        <f t="shared" si="2"/>
        <v>1607.0072546123861</v>
      </c>
      <c r="G32" s="24">
        <f t="shared" si="2"/>
        <v>1121.1532409273591</v>
      </c>
      <c r="H32" s="25">
        <f t="shared" si="2"/>
        <v>879.30978348274971</v>
      </c>
      <c r="I32" s="24">
        <f t="shared" si="2"/>
        <v>735.06514584004276</v>
      </c>
      <c r="J32" s="25">
        <f t="shared" si="2"/>
        <v>639.61417846500763</v>
      </c>
    </row>
    <row r="33" spans="3:10" x14ac:dyDescent="0.25">
      <c r="C33" s="21"/>
      <c r="D33" s="22">
        <v>0.1</v>
      </c>
      <c r="E33" s="24">
        <f t="shared" si="3"/>
        <v>3077.0560530503358</v>
      </c>
      <c r="F33" s="25">
        <f t="shared" si="2"/>
        <v>1615.0724218130777</v>
      </c>
      <c r="G33" s="24">
        <f t="shared" si="2"/>
        <v>1129.3515517843121</v>
      </c>
      <c r="H33" s="25">
        <f t="shared" si="2"/>
        <v>887.69042021615155</v>
      </c>
      <c r="I33" s="24">
        <f t="shared" si="2"/>
        <v>743.64656489438971</v>
      </c>
      <c r="J33" s="25">
        <f t="shared" si="2"/>
        <v>648.40432215196677</v>
      </c>
    </row>
    <row r="34" spans="3:10" x14ac:dyDescent="0.25">
      <c r="C34" s="21"/>
      <c r="D34" s="22">
        <v>0.105</v>
      </c>
      <c r="E34" s="24">
        <f t="shared" si="3"/>
        <v>3085.20110129861</v>
      </c>
      <c r="F34" s="25">
        <f t="shared" si="2"/>
        <v>1623.1614573780075</v>
      </c>
      <c r="G34" s="24">
        <f t="shared" si="2"/>
        <v>1137.5855226640426</v>
      </c>
      <c r="H34" s="25">
        <f t="shared" si="2"/>
        <v>896.11829131664115</v>
      </c>
      <c r="I34" s="24">
        <f t="shared" si="2"/>
        <v>752.28651323411111</v>
      </c>
      <c r="J34" s="25">
        <f t="shared" si="2"/>
        <v>657.26394892548069</v>
      </c>
    </row>
    <row r="35" spans="3:10" x14ac:dyDescent="0.25">
      <c r="C35" s="21"/>
      <c r="D35" s="22">
        <v>0.11</v>
      </c>
      <c r="E35" s="24">
        <f t="shared" si="3"/>
        <v>3093.358048256141</v>
      </c>
      <c r="F35" s="25">
        <f t="shared" si="2"/>
        <v>1631.2743368783772</v>
      </c>
      <c r="G35" s="24">
        <f t="shared" si="2"/>
        <v>1145.8550990950714</v>
      </c>
      <c r="H35" s="25">
        <f t="shared" si="2"/>
        <v>904.59329140084844</v>
      </c>
      <c r="I35" s="24">
        <f t="shared" si="2"/>
        <v>760.9848075425158</v>
      </c>
      <c r="J35" s="25">
        <f t="shared" si="2"/>
        <v>666.19276502470314</v>
      </c>
    </row>
    <row r="36" spans="3:10" x14ac:dyDescent="0.25">
      <c r="C36" s="21"/>
      <c r="D36" s="22">
        <v>0.115</v>
      </c>
      <c r="E36" s="24">
        <f t="shared" si="3"/>
        <v>3101.5268852957684</v>
      </c>
      <c r="F36" s="25">
        <f t="shared" si="2"/>
        <v>1639.4110354537765</v>
      </c>
      <c r="G36" s="24">
        <f t="shared" si="2"/>
        <v>1154.160225148878</v>
      </c>
      <c r="H36" s="25">
        <f t="shared" si="2"/>
        <v>913.11531170500859</v>
      </c>
      <c r="I36" s="24">
        <f t="shared" si="2"/>
        <v>769.74125812046395</v>
      </c>
      <c r="J36" s="25">
        <f t="shared" si="2"/>
        <v>675.19046613820763</v>
      </c>
    </row>
    <row r="37" spans="3:10" x14ac:dyDescent="0.25">
      <c r="C37" s="21"/>
      <c r="D37" s="22">
        <v>0.12</v>
      </c>
      <c r="E37" s="24">
        <f t="shared" si="3"/>
        <v>3109.7076037419588</v>
      </c>
      <c r="F37" s="25">
        <f t="shared" si="2"/>
        <v>1647.5715278142648</v>
      </c>
      <c r="G37" s="24">
        <f t="shared" si="2"/>
        <v>1162.5008434497915</v>
      </c>
      <c r="H37" s="25">
        <f t="shared" si="2"/>
        <v>921.68424011747175</v>
      </c>
      <c r="I37" s="24">
        <f t="shared" si="2"/>
        <v>778.555668971562</v>
      </c>
      <c r="J37" s="25">
        <f t="shared" si="2"/>
        <v>684.25673759446659</v>
      </c>
    </row>
    <row r="38" spans="3:10" x14ac:dyDescent="0.25">
      <c r="C38" s="21"/>
      <c r="D38" s="22">
        <v>0.125</v>
      </c>
      <c r="E38" s="24">
        <f t="shared" si="3"/>
        <v>3117.9001948710084</v>
      </c>
      <c r="F38" s="25">
        <f t="shared" si="2"/>
        <v>1655.755788242483</v>
      </c>
      <c r="G38" s="24">
        <f t="shared" si="2"/>
        <v>1170.8768951850784</v>
      </c>
      <c r="H38" s="25">
        <f t="shared" si="2"/>
        <v>930.29996121199156</v>
      </c>
      <c r="I38" s="24">
        <f t="shared" si="2"/>
        <v>787.42783788955433</v>
      </c>
      <c r="J38" s="25">
        <f t="shared" si="2"/>
        <v>693.39125455722717</v>
      </c>
    </row>
    <row r="39" spans="3:10" x14ac:dyDescent="0.25">
      <c r="C39" s="21"/>
      <c r="D39" s="22">
        <v>0.13</v>
      </c>
      <c r="E39" s="24">
        <f t="shared" si="3"/>
        <v>3126.104649911214</v>
      </c>
      <c r="F39" s="25">
        <f t="shared" si="2"/>
        <v>1663.9637905957854</v>
      </c>
      <c r="G39" s="24">
        <f t="shared" si="2"/>
        <v>1179.2883201152122</v>
      </c>
      <c r="H39" s="25">
        <f t="shared" si="2"/>
        <v>938.96235628177124</v>
      </c>
      <c r="I39" s="24">
        <f t="shared" si="2"/>
        <v>796.35755654784089</v>
      </c>
      <c r="J39" s="25">
        <f t="shared" si="2"/>
        <v>702.59368222556009</v>
      </c>
    </row>
    <row r="40" spans="3:10" x14ac:dyDescent="0.25">
      <c r="C40" s="21"/>
      <c r="D40" s="22">
        <v>0.13500000000000001</v>
      </c>
      <c r="E40" s="24">
        <f t="shared" si="3"/>
        <v>3134.3209600430741</v>
      </c>
      <c r="F40" s="25">
        <f t="shared" si="2"/>
        <v>1672.1955083083944</v>
      </c>
      <c r="G40" s="24">
        <f t="shared" si="2"/>
        <v>1187.7350565843342</v>
      </c>
      <c r="H40" s="25">
        <f t="shared" si="2"/>
        <v>947.67130337425533</v>
      </c>
      <c r="I40" s="24">
        <f t="shared" si="2"/>
        <v>805.34461059104615</v>
      </c>
      <c r="J40" s="25">
        <f t="shared" si="2"/>
        <v>711.86367603835424</v>
      </c>
    </row>
    <row r="41" spans="3:10" x14ac:dyDescent="0.25">
      <c r="C41" s="21"/>
      <c r="D41" s="22">
        <v>0.14000000000000001</v>
      </c>
      <c r="E41" s="24">
        <f t="shared" si="3"/>
        <v>3142.549116399473</v>
      </c>
      <c r="F41" s="25">
        <f t="shared" si="2"/>
        <v>1680.4509143935841</v>
      </c>
      <c r="G41" s="24">
        <f t="shared" si="2"/>
        <v>1196.2170415308967</v>
      </c>
      <c r="H41" s="25">
        <f t="shared" si="2"/>
        <v>956.42667732664188</v>
      </c>
      <c r="I41" s="24">
        <f t="shared" si="2"/>
        <v>814.38877972856938</v>
      </c>
      <c r="J41" s="25">
        <f t="shared" si="2"/>
        <v>721.20088188302236</v>
      </c>
    </row>
    <row r="42" spans="3:10" x14ac:dyDescent="0.25">
      <c r="C42" s="21"/>
      <c r="D42" s="23">
        <v>0.14499999999999999</v>
      </c>
      <c r="E42" s="24">
        <f t="shared" si="3"/>
        <v>3150.7891100658703</v>
      </c>
      <c r="F42" s="25">
        <f t="shared" si="2"/>
        <v>1688.7299814458795</v>
      </c>
      <c r="G42" s="24">
        <f t="shared" si="2"/>
        <v>1204.7342104984807</v>
      </c>
      <c r="H42" s="25">
        <f t="shared" si="2"/>
        <v>965.22834980209939</v>
      </c>
      <c r="I42" s="24">
        <f t="shared" si="2"/>
        <v>823.48983783003234</v>
      </c>
      <c r="J42" s="25">
        <f t="shared" si="2"/>
        <v>730.60493630818462</v>
      </c>
    </row>
  </sheetData>
  <mergeCells count="8">
    <mergeCell ref="A1:N2"/>
    <mergeCell ref="E11:J11"/>
    <mergeCell ref="C13:C25"/>
    <mergeCell ref="E28:J28"/>
    <mergeCell ref="C30:C42"/>
    <mergeCell ref="A3:M4"/>
    <mergeCell ref="D7:F7"/>
    <mergeCell ref="D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FBD6-3338-46AE-B72D-1C3828F54D82}">
  <dimension ref="A1:N47"/>
  <sheetViews>
    <sheetView tabSelected="1" workbookViewId="0">
      <selection activeCell="E11" sqref="E11"/>
    </sheetView>
  </sheetViews>
  <sheetFormatPr defaultRowHeight="15" x14ac:dyDescent="0.25"/>
  <cols>
    <col min="3" max="3" width="9.140625" customWidth="1"/>
    <col min="4" max="4" width="9.140625" hidden="1" customWidth="1"/>
    <col min="5" max="5" width="9.140625" customWidth="1"/>
    <col min="6" max="6" width="12.42578125" customWidth="1"/>
    <col min="7" max="7" width="11.5703125" customWidth="1"/>
    <col min="9" max="9" width="16" customWidth="1"/>
    <col min="11" max="11" width="10.7109375" customWidth="1"/>
  </cols>
  <sheetData>
    <row r="1" spans="1:13" x14ac:dyDescent="0.2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 x14ac:dyDescent="0.25">
      <c r="A3" s="15" t="s">
        <v>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6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10" spans="1:13" x14ac:dyDescent="0.25">
      <c r="D10" t="s">
        <v>7</v>
      </c>
      <c r="E10" s="29" t="s">
        <v>10</v>
      </c>
      <c r="F10" s="29" t="s">
        <v>11</v>
      </c>
      <c r="G10" s="29" t="s">
        <v>12</v>
      </c>
    </row>
    <row r="11" spans="1:13" x14ac:dyDescent="0.25">
      <c r="D11">
        <v>1</v>
      </c>
      <c r="E11" s="30">
        <f>$J$21/20*(D11-1)</f>
        <v>0</v>
      </c>
      <c r="F11" s="26">
        <f xml:space="preserve"> $J$15 + $L$17*$E11 + 0.5*$J$19*($E11^2)</f>
        <v>-300</v>
      </c>
      <c r="G11" s="26">
        <f>$J$16 + $L$18*$E11 + 0.5*$J$20*($E11^2)</f>
        <v>0</v>
      </c>
    </row>
    <row r="12" spans="1:13" x14ac:dyDescent="0.25">
      <c r="D12">
        <v>2</v>
      </c>
      <c r="E12" s="30">
        <f>$J$21/20*(D12-1)</f>
        <v>0.25</v>
      </c>
      <c r="F12" s="26">
        <f t="shared" ref="F12:F31" si="0" xml:space="preserve"> $J$15 + $L$17*$E12 + 0.5*$J$19*($E12^2)</f>
        <v>-284.69456799913877</v>
      </c>
      <c r="G12" s="26">
        <f t="shared" ref="G12:G31" si="1">$J$16 + $L$18*$E12 + 0.5*$J$20*($E12^2)</f>
        <v>18.76098934359608</v>
      </c>
    </row>
    <row r="13" spans="1:13" x14ac:dyDescent="0.25">
      <c r="D13">
        <v>3</v>
      </c>
      <c r="E13" s="30">
        <f>$J$21/20*(D13-1)</f>
        <v>0.5</v>
      </c>
      <c r="F13" s="26">
        <f t="shared" si="0"/>
        <v>-269.38913599827754</v>
      </c>
      <c r="G13" s="26">
        <f t="shared" si="1"/>
        <v>35.509478687192164</v>
      </c>
    </row>
    <row r="14" spans="1:13" x14ac:dyDescent="0.25">
      <c r="D14">
        <v>4</v>
      </c>
      <c r="E14" s="30">
        <f>$J$21/20*(D14-1)</f>
        <v>0.75</v>
      </c>
      <c r="F14" s="26">
        <f t="shared" si="0"/>
        <v>-254.08370399741631</v>
      </c>
      <c r="G14" s="26">
        <f t="shared" si="1"/>
        <v>50.245468030788246</v>
      </c>
    </row>
    <row r="15" spans="1:13" x14ac:dyDescent="0.25">
      <c r="D15">
        <v>5</v>
      </c>
      <c r="E15" s="30">
        <f>$J$21/20*(D15-1)</f>
        <v>1</v>
      </c>
      <c r="F15" s="26">
        <f t="shared" si="0"/>
        <v>-238.77827199655508</v>
      </c>
      <c r="G15" s="26">
        <f t="shared" si="1"/>
        <v>62.968957374384324</v>
      </c>
      <c r="I15" s="31" t="s">
        <v>13</v>
      </c>
      <c r="J15" s="27">
        <v>-300</v>
      </c>
    </row>
    <row r="16" spans="1:13" x14ac:dyDescent="0.25">
      <c r="D16">
        <v>6</v>
      </c>
      <c r="E16" s="30">
        <f>$J$21/20*(D16-1)</f>
        <v>1.25</v>
      </c>
      <c r="F16" s="26">
        <f t="shared" si="0"/>
        <v>-223.47283999569385</v>
      </c>
      <c r="G16" s="26">
        <f t="shared" si="1"/>
        <v>73.679946717980414</v>
      </c>
      <c r="I16" s="31" t="s">
        <v>14</v>
      </c>
      <c r="J16" s="27">
        <v>0</v>
      </c>
    </row>
    <row r="17" spans="4:12" x14ac:dyDescent="0.25">
      <c r="D17">
        <v>7</v>
      </c>
      <c r="E17" s="30">
        <f>$J$21/20*(D17-1)</f>
        <v>1.5</v>
      </c>
      <c r="F17" s="26">
        <f t="shared" si="0"/>
        <v>-208.16740799483262</v>
      </c>
      <c r="G17" s="26">
        <f t="shared" si="1"/>
        <v>82.37843606157648</v>
      </c>
      <c r="I17" s="31" t="s">
        <v>15</v>
      </c>
      <c r="J17" s="27">
        <v>100</v>
      </c>
      <c r="K17" s="31" t="s">
        <v>20</v>
      </c>
      <c r="L17" s="28">
        <f>$J$17*COS( $J$18*(PI()/180) )</f>
        <v>61.22172800344493</v>
      </c>
    </row>
    <row r="18" spans="4:12" x14ac:dyDescent="0.25">
      <c r="D18">
        <v>8</v>
      </c>
      <c r="E18" s="30">
        <f>$J$21/20*(D18-1)</f>
        <v>1.75</v>
      </c>
      <c r="F18" s="26">
        <f t="shared" si="0"/>
        <v>-192.86197599397138</v>
      </c>
      <c r="G18" s="26">
        <f t="shared" si="1"/>
        <v>89.064425405172557</v>
      </c>
      <c r="I18" s="31" t="s">
        <v>16</v>
      </c>
      <c r="J18" s="27">
        <v>52.25</v>
      </c>
      <c r="K18" s="31" t="s">
        <v>21</v>
      </c>
      <c r="L18" s="28">
        <f>$J$17*SIN( $J$18*(PI()/180) )</f>
        <v>79.068957374384325</v>
      </c>
    </row>
    <row r="19" spans="4:12" x14ac:dyDescent="0.25">
      <c r="D19">
        <v>9</v>
      </c>
      <c r="E19" s="30">
        <f>$J$21/20*(D19-1)</f>
        <v>2</v>
      </c>
      <c r="F19" s="26">
        <f t="shared" si="0"/>
        <v>-177.55654399311015</v>
      </c>
      <c r="G19" s="26">
        <f t="shared" si="1"/>
        <v>93.737914748768645</v>
      </c>
      <c r="I19" s="31" t="s">
        <v>17</v>
      </c>
      <c r="J19" s="27">
        <v>0</v>
      </c>
    </row>
    <row r="20" spans="4:12" x14ac:dyDescent="0.25">
      <c r="D20">
        <v>10</v>
      </c>
      <c r="E20" s="30">
        <f>$J$21/20*(D20-1)</f>
        <v>2.25</v>
      </c>
      <c r="F20" s="26">
        <f t="shared" si="0"/>
        <v>-162.25111199224889</v>
      </c>
      <c r="G20" s="26">
        <f t="shared" si="1"/>
        <v>96.398904092364731</v>
      </c>
      <c r="I20" s="31" t="s">
        <v>18</v>
      </c>
      <c r="J20" s="27">
        <v>-32.200000000000003</v>
      </c>
    </row>
    <row r="21" spans="4:12" x14ac:dyDescent="0.25">
      <c r="D21">
        <v>11</v>
      </c>
      <c r="E21" s="30">
        <f>$J$21/20*(D21-1)</f>
        <v>2.5</v>
      </c>
      <c r="F21" s="26">
        <f t="shared" si="0"/>
        <v>-146.94567999138766</v>
      </c>
      <c r="G21" s="26">
        <f t="shared" si="1"/>
        <v>97.047393435960814</v>
      </c>
      <c r="I21" s="31" t="s">
        <v>19</v>
      </c>
      <c r="J21" s="27">
        <v>5</v>
      </c>
    </row>
    <row r="22" spans="4:12" x14ac:dyDescent="0.25">
      <c r="D22">
        <v>12</v>
      </c>
      <c r="E22" s="30">
        <f>$J$21/20*(D22-1)</f>
        <v>2.75</v>
      </c>
      <c r="F22" s="26">
        <f t="shared" si="0"/>
        <v>-131.64024799052643</v>
      </c>
      <c r="G22" s="26">
        <f t="shared" si="1"/>
        <v>95.683382779556879</v>
      </c>
    </row>
    <row r="23" spans="4:12" x14ac:dyDescent="0.25">
      <c r="D23">
        <v>13</v>
      </c>
      <c r="E23" s="30">
        <f>$J$21/20*(D23-1)</f>
        <v>3</v>
      </c>
      <c r="F23" s="26">
        <f t="shared" si="0"/>
        <v>-116.3348159896652</v>
      </c>
      <c r="G23" s="26">
        <f t="shared" si="1"/>
        <v>92.306872123152971</v>
      </c>
    </row>
    <row r="24" spans="4:12" x14ac:dyDescent="0.25">
      <c r="D24">
        <v>14</v>
      </c>
      <c r="E24" s="30">
        <f>$J$21/20*(D24-1)</f>
        <v>3.25</v>
      </c>
      <c r="F24" s="26">
        <f t="shared" si="0"/>
        <v>-101.02938398880397</v>
      </c>
      <c r="G24" s="26">
        <f t="shared" si="1"/>
        <v>86.917861466749031</v>
      </c>
    </row>
    <row r="25" spans="4:12" x14ac:dyDescent="0.25">
      <c r="D25">
        <v>15</v>
      </c>
      <c r="E25" s="30">
        <f>$J$21/20*(D25-1)</f>
        <v>3.5</v>
      </c>
      <c r="F25" s="26">
        <f t="shared" si="0"/>
        <v>-85.723951987942741</v>
      </c>
      <c r="G25" s="26">
        <f t="shared" si="1"/>
        <v>79.516350810345102</v>
      </c>
    </row>
    <row r="26" spans="4:12" x14ac:dyDescent="0.25">
      <c r="D26">
        <v>16</v>
      </c>
      <c r="E26" s="30">
        <f>$J$21/20*(D26-1)</f>
        <v>3.75</v>
      </c>
      <c r="F26" s="26">
        <f t="shared" si="0"/>
        <v>-70.41851998708151</v>
      </c>
      <c r="G26" s="26">
        <f t="shared" si="1"/>
        <v>70.102340153941185</v>
      </c>
    </row>
    <row r="27" spans="4:12" x14ac:dyDescent="0.25">
      <c r="D27">
        <v>17</v>
      </c>
      <c r="E27" s="30">
        <f>$J$21/20*(D27-1)</f>
        <v>4</v>
      </c>
      <c r="F27" s="26">
        <f t="shared" si="0"/>
        <v>-55.113087986220279</v>
      </c>
      <c r="G27" s="26">
        <f t="shared" si="1"/>
        <v>58.675829497537279</v>
      </c>
    </row>
    <row r="28" spans="4:12" x14ac:dyDescent="0.25">
      <c r="D28">
        <v>18</v>
      </c>
      <c r="E28" s="30">
        <f>$J$21/20*(D28-1)</f>
        <v>4.25</v>
      </c>
      <c r="F28" s="26">
        <f t="shared" si="0"/>
        <v>-39.80765598535902</v>
      </c>
      <c r="G28" s="26">
        <f t="shared" si="1"/>
        <v>45.236818841133356</v>
      </c>
    </row>
    <row r="29" spans="4:12" x14ac:dyDescent="0.25">
      <c r="D29">
        <v>19</v>
      </c>
      <c r="E29" s="30">
        <f>$J$21/20*(D29-1)</f>
        <v>4.5</v>
      </c>
      <c r="F29" s="26">
        <f t="shared" si="0"/>
        <v>-24.502223984497789</v>
      </c>
      <c r="G29" s="26">
        <f t="shared" si="1"/>
        <v>29.785308184729445</v>
      </c>
    </row>
    <row r="30" spans="4:12" x14ac:dyDescent="0.25">
      <c r="D30">
        <v>20</v>
      </c>
      <c r="E30" s="30">
        <f>$J$21/20*(D30-1)</f>
        <v>4.75</v>
      </c>
      <c r="F30" s="26">
        <f t="shared" si="0"/>
        <v>-9.1967919836365581</v>
      </c>
      <c r="G30" s="26">
        <f t="shared" si="1"/>
        <v>12.321297528325545</v>
      </c>
    </row>
    <row r="31" spans="4:12" x14ac:dyDescent="0.25">
      <c r="D31">
        <v>21</v>
      </c>
      <c r="E31" s="30">
        <f>$J$21/20*(D31-1)</f>
        <v>5</v>
      </c>
      <c r="F31" s="26">
        <f t="shared" si="0"/>
        <v>6.1086400172246726</v>
      </c>
      <c r="G31" s="26">
        <f t="shared" si="1"/>
        <v>-7.155213128078401</v>
      </c>
    </row>
    <row r="36" spans="1:14" ht="15" customHeight="1" x14ac:dyDescent="0.25">
      <c r="A36">
        <v>1</v>
      </c>
      <c r="B36" s="16" t="s">
        <v>24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9" spans="1:14" ht="15" customHeight="1" x14ac:dyDescent="0.25">
      <c r="A39">
        <v>2</v>
      </c>
      <c r="B39" s="16" t="s">
        <v>9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customHeight="1" x14ac:dyDescent="0.25"/>
    <row r="42" spans="1:14" ht="15" customHeight="1" x14ac:dyDescent="0.25">
      <c r="A42">
        <v>3</v>
      </c>
      <c r="B42" s="16" t="s">
        <v>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4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4" ht="15" customHeight="1" x14ac:dyDescent="0.25"/>
    <row r="47" spans="1:14" ht="15" customHeight="1" x14ac:dyDescent="0.25"/>
  </sheetData>
  <mergeCells count="5">
    <mergeCell ref="B42:M43"/>
    <mergeCell ref="B39:N40"/>
    <mergeCell ref="B36:N37"/>
    <mergeCell ref="A1:M2"/>
    <mergeCell ref="A3:M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Heading</vt:lpstr>
      <vt:lpstr>Financial Analysis</vt:lpstr>
      <vt:lpstr>Projectile 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Haberkorn</dc:creator>
  <cp:lastModifiedBy>David Haberkorn</cp:lastModifiedBy>
  <dcterms:created xsi:type="dcterms:W3CDTF">2025-09-17T20:06:00Z</dcterms:created>
  <dcterms:modified xsi:type="dcterms:W3CDTF">2025-09-17T21:40:21Z</dcterms:modified>
</cp:coreProperties>
</file>